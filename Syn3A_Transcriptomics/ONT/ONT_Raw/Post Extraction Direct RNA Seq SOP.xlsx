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SequencingTeam\JIRA Projects\JIRA 1693- syn rna\1693 Updated 11.7.23\"/>
    </mc:Choice>
  </mc:AlternateContent>
  <xr:revisionPtr revIDLastSave="0" documentId="13_ncr:1_{86500BA4-9242-47A9-9857-BEC71486B220}" xr6:coauthVersionLast="47" xr6:coauthVersionMax="47" xr10:uidLastSave="{00000000-0000-0000-0000-000000000000}"/>
  <bookViews>
    <workbookView xWindow="-108" yWindow="-108" windowWidth="16608" windowHeight="8832" firstSheet="2" activeTab="6" xr2:uid="{938D69E8-4232-42F1-9FC6-85A90B74C959}"/>
  </bookViews>
  <sheets>
    <sheet name="Overview and hacks" sheetId="2" r:id="rId1"/>
    <sheet name="Third party reagents you need" sheetId="3" r:id="rId2"/>
    <sheet name="Normalization" sheetId="5" r:id="rId3"/>
    <sheet name="Step 1" sheetId="7" r:id="rId4"/>
    <sheet name="Step 2" sheetId="6" r:id="rId5"/>
    <sheet name="Step 3" sheetId="1" r:id="rId6"/>
    <sheet name="Step 4" sheetId="8" r:id="rId7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8" l="1"/>
  <c r="I24" i="8"/>
  <c r="I23" i="8"/>
  <c r="F19" i="1"/>
  <c r="I13" i="6"/>
  <c r="I11" i="6"/>
  <c r="I12" i="6"/>
  <c r="I10" i="6"/>
  <c r="H15" i="6"/>
  <c r="H11" i="6"/>
  <c r="H12" i="6"/>
  <c r="H10" i="6"/>
  <c r="G15" i="6"/>
  <c r="G12" i="6"/>
  <c r="G11" i="6"/>
  <c r="G10" i="6"/>
  <c r="B65" i="7"/>
  <c r="C67" i="7" s="1"/>
  <c r="F74" i="7" l="1"/>
  <c r="F73" i="7"/>
  <c r="F52" i="1"/>
  <c r="F51" i="1"/>
  <c r="F33" i="6"/>
  <c r="F32" i="6"/>
  <c r="F54" i="7"/>
  <c r="F53" i="7"/>
  <c r="F52" i="7"/>
  <c r="F12" i="6"/>
  <c r="F11" i="6"/>
  <c r="F10" i="6"/>
  <c r="F41" i="7"/>
  <c r="F40" i="7"/>
  <c r="F39" i="7"/>
  <c r="F28" i="7"/>
  <c r="F27" i="7"/>
  <c r="F55" i="7" l="1"/>
  <c r="F75" i="7"/>
  <c r="F42" i="7"/>
  <c r="F29" i="7"/>
  <c r="F82" i="1"/>
  <c r="F81" i="1"/>
  <c r="F80" i="1"/>
  <c r="F79" i="1"/>
  <c r="F33" i="1"/>
  <c r="F32" i="1"/>
  <c r="F31" i="1"/>
  <c r="F30" i="1"/>
  <c r="F20" i="1"/>
  <c r="F18" i="1"/>
  <c r="F17" i="1"/>
  <c r="E96" i="5"/>
  <c r="F96" i="5" s="1"/>
  <c r="F95" i="5"/>
  <c r="E95" i="5"/>
  <c r="E94" i="5"/>
  <c r="F94" i="5" s="1"/>
  <c r="E93" i="5"/>
  <c r="F93" i="5" s="1"/>
  <c r="E92" i="5"/>
  <c r="F92" i="5" s="1"/>
  <c r="E91" i="5"/>
  <c r="F91" i="5" s="1"/>
  <c r="E90" i="5"/>
  <c r="F90" i="5" s="1"/>
  <c r="E89" i="5"/>
  <c r="F89" i="5" s="1"/>
  <c r="E88" i="5"/>
  <c r="F88" i="5" s="1"/>
  <c r="F87" i="5"/>
  <c r="E87" i="5"/>
  <c r="E86" i="5"/>
  <c r="F86" i="5" s="1"/>
  <c r="E85" i="5"/>
  <c r="F85" i="5" s="1"/>
  <c r="E84" i="5"/>
  <c r="F84" i="5" s="1"/>
  <c r="F83" i="5"/>
  <c r="E83" i="5"/>
  <c r="E82" i="5"/>
  <c r="F82" i="5" s="1"/>
  <c r="E81" i="5"/>
  <c r="F81" i="5" s="1"/>
  <c r="E80" i="5"/>
  <c r="F80" i="5" s="1"/>
  <c r="F79" i="5"/>
  <c r="E79" i="5"/>
  <c r="E78" i="5"/>
  <c r="F78" i="5" s="1"/>
  <c r="E77" i="5"/>
  <c r="F77" i="5" s="1"/>
  <c r="E76" i="5"/>
  <c r="F76" i="5" s="1"/>
  <c r="F75" i="5"/>
  <c r="E75" i="5"/>
  <c r="E74" i="5"/>
  <c r="F74" i="5" s="1"/>
  <c r="E73" i="5"/>
  <c r="F73" i="5" s="1"/>
  <c r="E72" i="5"/>
  <c r="F72" i="5" s="1"/>
  <c r="F71" i="5"/>
  <c r="E71" i="5"/>
  <c r="E70" i="5"/>
  <c r="F70" i="5" s="1"/>
  <c r="E69" i="5"/>
  <c r="F69" i="5" s="1"/>
  <c r="E68" i="5"/>
  <c r="F68" i="5" s="1"/>
  <c r="F67" i="5"/>
  <c r="E67" i="5"/>
  <c r="E66" i="5"/>
  <c r="F66" i="5" s="1"/>
  <c r="E65" i="5"/>
  <c r="F65" i="5" s="1"/>
  <c r="E64" i="5"/>
  <c r="F64" i="5" s="1"/>
  <c r="F63" i="5"/>
  <c r="E63" i="5"/>
  <c r="E62" i="5"/>
  <c r="F62" i="5" s="1"/>
  <c r="E61" i="5"/>
  <c r="F61" i="5" s="1"/>
  <c r="E60" i="5"/>
  <c r="F60" i="5" s="1"/>
  <c r="F59" i="5"/>
  <c r="E59" i="5"/>
  <c r="E58" i="5"/>
  <c r="F58" i="5" s="1"/>
  <c r="E57" i="5"/>
  <c r="F57" i="5" s="1"/>
  <c r="E56" i="5"/>
  <c r="F56" i="5" s="1"/>
  <c r="F55" i="5"/>
  <c r="E55" i="5"/>
  <c r="E54" i="5"/>
  <c r="F54" i="5" s="1"/>
  <c r="E53" i="5"/>
  <c r="F53" i="5" s="1"/>
  <c r="E52" i="5"/>
  <c r="F52" i="5" s="1"/>
  <c r="F51" i="5"/>
  <c r="E51" i="5"/>
  <c r="E50" i="5"/>
  <c r="F50" i="5" s="1"/>
  <c r="E49" i="5"/>
  <c r="F49" i="5" s="1"/>
  <c r="E48" i="5"/>
  <c r="F48" i="5" s="1"/>
  <c r="F47" i="5"/>
  <c r="E47" i="5"/>
  <c r="E46" i="5"/>
  <c r="F46" i="5" s="1"/>
  <c r="E45" i="5"/>
  <c r="F45" i="5" s="1"/>
  <c r="E44" i="5"/>
  <c r="F44" i="5" s="1"/>
  <c r="F43" i="5"/>
  <c r="E43" i="5"/>
  <c r="E42" i="5"/>
  <c r="F42" i="5" s="1"/>
  <c r="E41" i="5"/>
  <c r="F41" i="5" s="1"/>
  <c r="E40" i="5"/>
  <c r="F40" i="5" s="1"/>
  <c r="F39" i="5"/>
  <c r="E39" i="5"/>
  <c r="E38" i="5"/>
  <c r="F38" i="5" s="1"/>
  <c r="E37" i="5"/>
  <c r="F37" i="5" s="1"/>
  <c r="E36" i="5"/>
  <c r="F36" i="5" s="1"/>
  <c r="F35" i="5"/>
  <c r="E35" i="5"/>
  <c r="E34" i="5"/>
  <c r="F34" i="5" s="1"/>
  <c r="E33" i="5"/>
  <c r="F33" i="5" s="1"/>
  <c r="E32" i="5"/>
  <c r="F32" i="5" s="1"/>
  <c r="F31" i="5"/>
  <c r="E31" i="5"/>
  <c r="E30" i="5"/>
  <c r="F30" i="5" s="1"/>
  <c r="E29" i="5"/>
  <c r="F29" i="5" s="1"/>
  <c r="E28" i="5"/>
  <c r="F28" i="5" s="1"/>
  <c r="F27" i="5"/>
  <c r="E27" i="5"/>
  <c r="E26" i="5"/>
  <c r="F26" i="5" s="1"/>
  <c r="E25" i="5"/>
  <c r="F25" i="5" s="1"/>
  <c r="E24" i="5"/>
  <c r="F24" i="5" s="1"/>
  <c r="F23" i="5"/>
  <c r="E23" i="5"/>
  <c r="E22" i="5"/>
  <c r="F22" i="5" s="1"/>
  <c r="E21" i="5"/>
  <c r="F21" i="5" s="1"/>
  <c r="E20" i="5"/>
  <c r="F20" i="5" s="1"/>
  <c r="F19" i="5"/>
  <c r="E19" i="5"/>
  <c r="E18" i="5"/>
  <c r="F18" i="5" s="1"/>
  <c r="E17" i="5"/>
  <c r="F17" i="5" s="1"/>
  <c r="E16" i="5"/>
  <c r="F16" i="5" s="1"/>
  <c r="F15" i="5"/>
  <c r="E15" i="5"/>
  <c r="E14" i="5"/>
  <c r="F14" i="5" s="1"/>
  <c r="E13" i="5"/>
  <c r="F13" i="5" s="1"/>
  <c r="E12" i="5"/>
  <c r="F12" i="5" s="1"/>
  <c r="F11" i="5"/>
  <c r="E11" i="5"/>
  <c r="E10" i="5"/>
  <c r="F10" i="5" s="1"/>
  <c r="E9" i="5"/>
  <c r="F9" i="5" s="1"/>
  <c r="E8" i="5"/>
  <c r="F8" i="5" s="1"/>
  <c r="E5" i="5"/>
  <c r="F5" i="5" s="1"/>
  <c r="E4" i="5"/>
  <c r="F4" i="5" s="1"/>
  <c r="E3" i="5"/>
  <c r="F3" i="5" s="1"/>
  <c r="E2" i="5"/>
  <c r="F2" i="5" s="1"/>
  <c r="F13" i="6" l="1"/>
  <c r="F34" i="6"/>
  <c r="F83" i="1"/>
  <c r="F53" i="1"/>
  <c r="F34" i="1"/>
  <c r="F21" i="1"/>
</calcChain>
</file>

<file path=xl/sharedStrings.xml><?xml version="1.0" encoding="utf-8"?>
<sst xmlns="http://schemas.openxmlformats.org/spreadsheetml/2006/main" count="351" uniqueCount="170">
  <si>
    <t>Image from the Direct RNA protocol</t>
  </si>
  <si>
    <t>click here</t>
  </si>
  <si>
    <t>The Run Down:</t>
  </si>
  <si>
    <t>here</t>
  </si>
  <si>
    <t>SuperScript™ III Reverse Transcriptase</t>
  </si>
  <si>
    <t>10 mM dNTP solution</t>
  </si>
  <si>
    <t>NEBNext® Quick Ligation Reaction Buffer</t>
  </si>
  <si>
    <t>T4 DNA Ligase 2M U/ml</t>
  </si>
  <si>
    <t xml:space="preserve">In order to make this assay work with bacterial RNA, you need to polyadenelate the RNA. The syn 1.0 and syn 3A cell lines have more A/T nucleotides than a standard cell, so you will also be getting nonspecific binding of the reverse transcriptase primers. I am not sure how this will affect the data, maybe it will make it differcult to accurately call transcript length. </t>
  </si>
  <si>
    <t xml:space="preserve">Once the RMX reagent is added, treat that tube so delicately. No vortexing, no pipetting, just the softest, most gentle flick. </t>
  </si>
  <si>
    <t>Sample Name</t>
  </si>
  <si>
    <t>Concentration (ng/ul)</t>
  </si>
  <si>
    <t>Desired Sample input (ng)</t>
  </si>
  <si>
    <t>Desired Input volume (ul)</t>
  </si>
  <si>
    <t>Normalization: DNA/RNA volume (ul)</t>
  </si>
  <si>
    <t>Normalization: WATER volume (ul)</t>
  </si>
  <si>
    <t>RNA CS, 110nM</t>
  </si>
  <si>
    <t>RT Adapter (RTA)</t>
  </si>
  <si>
    <t>T4 DNA Ligase</t>
  </si>
  <si>
    <t>Input how many samples you have</t>
  </si>
  <si>
    <t>Volume (ul) + Overage</t>
  </si>
  <si>
    <t>: Total Volume</t>
  </si>
  <si>
    <t>Nuclease-free water</t>
  </si>
  <si>
    <t>10mM dNTPs</t>
  </si>
  <si>
    <t>5x first-strand buffer</t>
  </si>
  <si>
    <t>0.1M DTT</t>
  </si>
  <si>
    <r>
      <t xml:space="preserve">Add </t>
    </r>
    <r>
      <rPr>
        <b/>
        <sz val="11"/>
        <color theme="1"/>
        <rFont val="Calibri"/>
        <family val="2"/>
        <scheme val="minor"/>
      </rPr>
      <t>23ul</t>
    </r>
    <r>
      <rPr>
        <sz val="11"/>
        <color theme="1"/>
        <rFont val="Calibri"/>
        <family val="2"/>
        <scheme val="minor"/>
      </rPr>
      <t xml:space="preserve"> of the RT master mix to each tube containing adaptor-ligated RNA. Pipette to mix</t>
    </r>
  </si>
  <si>
    <t>Make a RT master mix. Pipette to mix</t>
  </si>
  <si>
    <t>Preprogram the thermocycler</t>
  </si>
  <si>
    <t>Protocol name:</t>
  </si>
  <si>
    <t>Temp</t>
  </si>
  <si>
    <t>Time</t>
  </si>
  <si>
    <t>50 min</t>
  </si>
  <si>
    <t>10 min</t>
  </si>
  <si>
    <t>RNA CleanXP beads</t>
  </si>
  <si>
    <t>ONT RT</t>
  </si>
  <si>
    <r>
      <t>Place on thermocycler, run "</t>
    </r>
    <r>
      <rPr>
        <i/>
        <sz val="11"/>
        <color theme="1"/>
        <rFont val="Calibri"/>
        <family val="2"/>
        <scheme val="minor"/>
      </rPr>
      <t>ONT RT</t>
    </r>
    <r>
      <rPr>
        <sz val="11"/>
        <color theme="1"/>
        <rFont val="Calibri"/>
        <family val="2"/>
        <scheme val="minor"/>
      </rPr>
      <t>" protocol</t>
    </r>
  </si>
  <si>
    <t>Vortex RNAClean XP beads for 30-60 seconds</t>
  </si>
  <si>
    <r>
      <t xml:space="preserve">Add </t>
    </r>
    <r>
      <rPr>
        <b/>
        <sz val="11"/>
        <color theme="1"/>
        <rFont val="Calibri"/>
        <family val="2"/>
        <scheme val="minor"/>
      </rPr>
      <t xml:space="preserve">72ul </t>
    </r>
    <r>
      <rPr>
        <sz val="11"/>
        <color theme="1"/>
        <rFont val="Calibri"/>
        <family val="2"/>
        <scheme val="minor"/>
      </rPr>
      <t>of resuspended RNAClean XP beads to each sample</t>
    </r>
  </si>
  <si>
    <r>
      <t xml:space="preserve">Add </t>
    </r>
    <r>
      <rPr>
        <b/>
        <sz val="11"/>
        <color theme="1"/>
        <rFont val="Calibri"/>
        <family val="2"/>
        <scheme val="minor"/>
      </rPr>
      <t>6ul</t>
    </r>
    <r>
      <rPr>
        <sz val="11"/>
        <color theme="1"/>
        <rFont val="Calibri"/>
        <family val="2"/>
        <scheme val="minor"/>
      </rPr>
      <t xml:space="preserve"> of the RTA master mix to each tube containing RNA. Pipette to mix</t>
    </r>
  </si>
  <si>
    <t>Make a RTA master mix. Pipette to mix</t>
  </si>
  <si>
    <t>Incubate at room temp for 5 minutes. Prepare ethanol during incubation</t>
  </si>
  <si>
    <t>E. coli Poly(A) Polymerase</t>
  </si>
  <si>
    <t>NEBNext® rRNA Depletion Kit (Bacteria)</t>
  </si>
  <si>
    <t>200 proof ethanol</t>
  </si>
  <si>
    <t>Don’t disturb the pellet</t>
  </si>
  <si>
    <t>Incubate for 5 minutes at room temperature</t>
  </si>
  <si>
    <t>Spin down and pellet the beads on the magnet until the eluate is clear</t>
  </si>
  <si>
    <t>Make a RMX master mix. Pipette to mix</t>
  </si>
  <si>
    <t>RNA Adapter (RMX)</t>
  </si>
  <si>
    <r>
      <t xml:space="preserve">Add </t>
    </r>
    <r>
      <rPr>
        <b/>
        <sz val="11"/>
        <color theme="1"/>
        <rFont val="Calibri"/>
        <family val="2"/>
        <scheme val="minor"/>
      </rPr>
      <t>20ul</t>
    </r>
    <r>
      <rPr>
        <sz val="11"/>
        <color theme="1"/>
        <rFont val="Calibri"/>
        <family val="2"/>
        <scheme val="minor"/>
      </rPr>
      <t xml:space="preserve"> of the RMX master mix to each tube containing RNA. Pipette to mix</t>
    </r>
  </si>
  <si>
    <t>Incubate the reaction for 10 minutes at room temp</t>
  </si>
  <si>
    <r>
      <t xml:space="preserve">Add </t>
    </r>
    <r>
      <rPr>
        <b/>
        <sz val="11"/>
        <color theme="1"/>
        <rFont val="Calibri"/>
        <family val="2"/>
        <scheme val="minor"/>
      </rPr>
      <t>2ul</t>
    </r>
    <r>
      <rPr>
        <sz val="11"/>
        <color theme="1"/>
        <rFont val="Calibri"/>
        <family val="2"/>
        <scheme val="minor"/>
      </rPr>
      <t xml:space="preserve"> of the SuperScript™ III Reverse Transcriptase to each tube. Pipette to mix</t>
    </r>
  </si>
  <si>
    <r>
      <t xml:space="preserve">Add </t>
    </r>
    <r>
      <rPr>
        <b/>
        <sz val="11"/>
        <color theme="1"/>
        <rFont val="Calibri"/>
        <family val="2"/>
        <scheme val="minor"/>
      </rPr>
      <t xml:space="preserve">16ul </t>
    </r>
    <r>
      <rPr>
        <sz val="11"/>
        <color theme="1"/>
        <rFont val="Calibri"/>
        <family val="2"/>
        <scheme val="minor"/>
      </rPr>
      <t>of resuspended RNAClean XP beads to each sample</t>
    </r>
  </si>
  <si>
    <t>Incubate at room temp on the Hula mixer for 5 minutes</t>
  </si>
  <si>
    <t>Return to the magnetic stand and pellet the beads. Remove the supernatent</t>
  </si>
  <si>
    <t>Spin down the tube and place back on the magnet. Pipette residual WSB using a p20</t>
  </si>
  <si>
    <t>Remove the tube from the magnetic stand and resuspend the pellet in 21ul of Elution Buffer (EB)</t>
  </si>
  <si>
    <t>Incubate for 10 minutes at room temperature</t>
  </si>
  <si>
    <t>Pellet the beads on a magnet until the eluate is clear</t>
  </si>
  <si>
    <t>Remove and retain 21ul of the eluate in a clean 1.5mL tube</t>
  </si>
  <si>
    <t>Qubit the sample using the DNA HS assay</t>
  </si>
  <si>
    <t xml:space="preserve">The 3A RNA is especially sensitive to freeze-thaw cycles. Try and keep the freeze-thaws below 2. </t>
  </si>
  <si>
    <t>Make the master mix. Pipette to mix</t>
  </si>
  <si>
    <t>10X E. coli Poly(A) Polymerase Reaction Buffer</t>
  </si>
  <si>
    <t>ATP (10mM)</t>
  </si>
  <si>
    <r>
      <t>Add</t>
    </r>
    <r>
      <rPr>
        <b/>
        <sz val="11"/>
        <color theme="1"/>
        <rFont val="Calibri"/>
        <family val="2"/>
        <scheme val="minor"/>
      </rPr>
      <t xml:space="preserve"> 5ul</t>
    </r>
    <r>
      <rPr>
        <sz val="11"/>
        <color theme="1"/>
        <rFont val="Calibri"/>
        <family val="2"/>
        <scheme val="minor"/>
      </rPr>
      <t xml:space="preserve"> of the master mix to each tube containing RNA. Pipette to mix</t>
    </r>
  </si>
  <si>
    <t>50°C</t>
  </si>
  <si>
    <t>70°C</t>
  </si>
  <si>
    <t>Place the tube on ice while preparing for the cleanup step</t>
  </si>
  <si>
    <r>
      <t xml:space="preserve">Add </t>
    </r>
    <r>
      <rPr>
        <b/>
        <sz val="11"/>
        <color theme="1"/>
        <rFont val="Calibri"/>
        <family val="2"/>
        <scheme val="minor"/>
      </rPr>
      <t xml:space="preserve">30ul </t>
    </r>
    <r>
      <rPr>
        <sz val="11"/>
        <color theme="1"/>
        <rFont val="Calibri"/>
        <family val="2"/>
        <scheme val="minor"/>
      </rPr>
      <t>of resuspended RNAClean XP beads to each sample</t>
    </r>
  </si>
  <si>
    <t>4°C</t>
  </si>
  <si>
    <t>∞</t>
  </si>
  <si>
    <t>Spin down the samples and pellet on a magnet. Wait until the the supernatent is clear then pipette off the supernatent</t>
  </si>
  <si>
    <r>
      <t xml:space="preserve">Remove the tube from the magnetic stand and resuspend the pellet in </t>
    </r>
    <r>
      <rPr>
        <b/>
        <sz val="11"/>
        <color theme="1"/>
        <rFont val="Calibri"/>
        <family val="2"/>
        <scheme val="minor"/>
      </rPr>
      <t>20ul</t>
    </r>
    <r>
      <rPr>
        <sz val="11"/>
        <color theme="1"/>
        <rFont val="Calibri"/>
        <family val="2"/>
        <scheme val="minor"/>
      </rPr>
      <t xml:space="preserve"> of nuclease-free water</t>
    </r>
  </si>
  <si>
    <r>
      <t xml:space="preserve">Pipette </t>
    </r>
    <r>
      <rPr>
        <b/>
        <sz val="11"/>
        <color theme="1"/>
        <rFont val="Calibri"/>
        <family val="2"/>
        <scheme val="minor"/>
      </rPr>
      <t>20ul</t>
    </r>
    <r>
      <rPr>
        <sz val="11"/>
        <color theme="1"/>
        <rFont val="Calibri"/>
        <family val="2"/>
        <scheme val="minor"/>
      </rPr>
      <t xml:space="preserve"> of the eluate into a clean 1.5mL tube</t>
    </r>
  </si>
  <si>
    <t>Wash the beads with 150ul of the Washer Buffer (WSB). Gently flick the tube to resuspend the beads in the WSB.</t>
  </si>
  <si>
    <t>Repeat steps 11-12 an additional time</t>
  </si>
  <si>
    <t>Repeat steps 15-16 an additional time for a total of two washes</t>
  </si>
  <si>
    <t>Repeat steps 30-31 an additional time</t>
  </si>
  <si>
    <t>NEB RNA HYB</t>
  </si>
  <si>
    <t>95°C</t>
  </si>
  <si>
    <t>2 min</t>
  </si>
  <si>
    <t>Ramp 0.1°C/sec</t>
  </si>
  <si>
    <t>22°C</t>
  </si>
  <si>
    <t>NEB RNASE H</t>
  </si>
  <si>
    <t>30 min</t>
  </si>
  <si>
    <t>37°C</t>
  </si>
  <si>
    <t>NEB DNASE I</t>
  </si>
  <si>
    <t>NEBNext Bacterial rRNA Depletion Solution</t>
  </si>
  <si>
    <t>NEBNext Probe Hybridization Buffer</t>
  </si>
  <si>
    <r>
      <t xml:space="preserve">Make the probe master mix. </t>
    </r>
    <r>
      <rPr>
        <i/>
        <sz val="11"/>
        <color theme="1"/>
        <rFont val="Calibri"/>
        <family val="2"/>
        <scheme val="minor"/>
      </rPr>
      <t>Pipette 10x to mix</t>
    </r>
  </si>
  <si>
    <r>
      <t xml:space="preserve">Add </t>
    </r>
    <r>
      <rPr>
        <b/>
        <sz val="11"/>
        <color theme="1"/>
        <rFont val="Calibri"/>
        <family val="2"/>
        <scheme val="minor"/>
      </rPr>
      <t>4ul</t>
    </r>
    <r>
      <rPr>
        <sz val="11"/>
        <color theme="1"/>
        <rFont val="Calibri"/>
        <family val="2"/>
        <scheme val="minor"/>
      </rPr>
      <t xml:space="preserve"> of the probe master mix to each tube containing RNA. Pipette to mix</t>
    </r>
  </si>
  <si>
    <r>
      <t>Place on thermocycler, run "</t>
    </r>
    <r>
      <rPr>
        <i/>
        <sz val="11"/>
        <color theme="1"/>
        <rFont val="Calibri"/>
        <family val="2"/>
        <scheme val="minor"/>
      </rPr>
      <t>NEB RNA HYB</t>
    </r>
    <r>
      <rPr>
        <sz val="11"/>
        <color theme="1"/>
        <rFont val="Calibri"/>
        <family val="2"/>
        <scheme val="minor"/>
      </rPr>
      <t>" protocol</t>
    </r>
  </si>
  <si>
    <t>5 minutes</t>
  </si>
  <si>
    <t>Immediately proceed to the next step following completion</t>
  </si>
  <si>
    <r>
      <t xml:space="preserve">Make the RNase H master mix. </t>
    </r>
    <r>
      <rPr>
        <i/>
        <sz val="11"/>
        <color theme="1"/>
        <rFont val="Calibri"/>
        <family val="2"/>
        <scheme val="minor"/>
      </rPr>
      <t>Pipette 10x to mix</t>
    </r>
  </si>
  <si>
    <t>RNase H Reaction Buffer</t>
  </si>
  <si>
    <t xml:space="preserve"> NEBNext Thermostable RNase H </t>
  </si>
  <si>
    <t>Nuclease-free Water</t>
  </si>
  <si>
    <r>
      <t xml:space="preserve">Add </t>
    </r>
    <r>
      <rPr>
        <b/>
        <sz val="11"/>
        <color theme="1"/>
        <rFont val="Calibri"/>
        <family val="2"/>
        <scheme val="minor"/>
      </rPr>
      <t>5ul</t>
    </r>
    <r>
      <rPr>
        <sz val="11"/>
        <color theme="1"/>
        <rFont val="Calibri"/>
        <family val="2"/>
        <scheme val="minor"/>
      </rPr>
      <t xml:space="preserve"> of the RNase H master mix to each tube containing RNA. Pipette to mix</t>
    </r>
  </si>
  <si>
    <r>
      <t>Place on thermocycler, run "</t>
    </r>
    <r>
      <rPr>
        <i/>
        <sz val="11"/>
        <color theme="1"/>
        <rFont val="Calibri"/>
        <family val="2"/>
        <scheme val="minor"/>
      </rPr>
      <t>NEB RNASE H</t>
    </r>
    <r>
      <rPr>
        <sz val="11"/>
        <color theme="1"/>
        <rFont val="Calibri"/>
        <family val="2"/>
        <scheme val="minor"/>
      </rPr>
      <t>" protocol</t>
    </r>
  </si>
  <si>
    <r>
      <t xml:space="preserve">Make the DNase I master mix. </t>
    </r>
    <r>
      <rPr>
        <i/>
        <sz val="11"/>
        <color theme="1"/>
        <rFont val="Calibri"/>
        <family val="2"/>
        <scheme val="minor"/>
      </rPr>
      <t>Pipette 10x to mix</t>
    </r>
  </si>
  <si>
    <t xml:space="preserve"> DNase I Reaction Buffer </t>
  </si>
  <si>
    <t xml:space="preserve">NEBNext DNase I (RNase-free) </t>
  </si>
  <si>
    <r>
      <t xml:space="preserve">Add </t>
    </r>
    <r>
      <rPr>
        <b/>
        <sz val="11"/>
        <color theme="1"/>
        <rFont val="Calibri"/>
        <family val="2"/>
        <scheme val="minor"/>
      </rPr>
      <t>30ul</t>
    </r>
    <r>
      <rPr>
        <sz val="11"/>
        <color theme="1"/>
        <rFont val="Calibri"/>
        <family val="2"/>
        <scheme val="minor"/>
      </rPr>
      <t xml:space="preserve"> of the DNase I master mix to each tube containing RNA. Pipette to mix</t>
    </r>
  </si>
  <si>
    <r>
      <t>Place on thermocycler, run "</t>
    </r>
    <r>
      <rPr>
        <i/>
        <sz val="11"/>
        <color theme="1"/>
        <rFont val="Calibri"/>
        <family val="2"/>
        <scheme val="minor"/>
      </rPr>
      <t>NEB DNASE I</t>
    </r>
    <r>
      <rPr>
        <sz val="11"/>
        <color theme="1"/>
        <rFont val="Calibri"/>
        <family val="2"/>
        <scheme val="minor"/>
      </rPr>
      <t>" protocol</t>
    </r>
  </si>
  <si>
    <r>
      <t>Incubate on ice for</t>
    </r>
    <r>
      <rPr>
        <i/>
        <sz val="11"/>
        <color theme="1"/>
        <rFont val="Calibri"/>
        <family val="2"/>
        <scheme val="minor"/>
      </rPr>
      <t xml:space="preserve"> 15 minutes</t>
    </r>
    <r>
      <rPr>
        <sz val="11"/>
        <color theme="1"/>
        <rFont val="Calibri"/>
        <family val="2"/>
        <scheme val="minor"/>
      </rPr>
      <t>. Prepare ethanol during incubation</t>
    </r>
  </si>
  <si>
    <r>
      <t xml:space="preserve">While on the magnet, wash the beads with </t>
    </r>
    <r>
      <rPr>
        <b/>
        <sz val="11"/>
        <color theme="1"/>
        <rFont val="Calibri"/>
        <family val="2"/>
        <scheme val="minor"/>
      </rPr>
      <t>150ul</t>
    </r>
    <r>
      <rPr>
        <sz val="11"/>
        <color theme="1"/>
        <rFont val="Calibri"/>
        <family val="2"/>
        <scheme val="minor"/>
      </rPr>
      <t xml:space="preserve"> of the freshly prepared 80% ethanol</t>
    </r>
  </si>
  <si>
    <t>Wait 30 seconds then remove the 80% ethanol using a pipette, and discard</t>
  </si>
  <si>
    <t>Spin down the tube and place back on the magnet. Pipette residual 80% ethanol using a p20</t>
  </si>
  <si>
    <r>
      <t xml:space="preserve">Make </t>
    </r>
    <r>
      <rPr>
        <i/>
        <sz val="11"/>
        <color theme="1"/>
        <rFont val="Calibri"/>
        <family val="2"/>
        <scheme val="minor"/>
      </rPr>
      <t>fresh 8</t>
    </r>
    <r>
      <rPr>
        <sz val="11"/>
        <color theme="1"/>
        <rFont val="Calibri"/>
        <family val="2"/>
        <scheme val="minor"/>
      </rPr>
      <t xml:space="preserve">0% ethanol. Ethanol absorbs water from the air, fresh ethanol ensures the ratio is 80%. Vortex to mix. </t>
    </r>
  </si>
  <si>
    <t>Poly A Tailing</t>
  </si>
  <si>
    <t>rRNA Depletion</t>
  </si>
  <si>
    <t xml:space="preserve"> B</t>
  </si>
  <si>
    <t>F</t>
  </si>
  <si>
    <t>Library Prep</t>
  </si>
  <si>
    <t>Loading the Flowcell</t>
  </si>
  <si>
    <t>Thaw and mix the RNA Running Buffer (RRB), Flush Buffer (FB), and Flush Tether (FLT) by vortexing and spin down</t>
  </si>
  <si>
    <t>Slide the flowcell under the GridION clip</t>
  </si>
  <si>
    <t>Slide the priming port cover clockwise to open</t>
  </si>
  <si>
    <t>Set a p1000 pipette to 200ul</t>
  </si>
  <si>
    <t xml:space="preserve">Turn the pipette's wheel until the dial shows 20-30ul, or until you can see a small volume of buffer enter the pipette tip </t>
  </si>
  <si>
    <r>
      <t xml:space="preserve">Add </t>
    </r>
    <r>
      <rPr>
        <b/>
        <sz val="11"/>
        <color theme="1"/>
        <rFont val="Calibri"/>
        <family val="2"/>
        <scheme val="minor"/>
      </rPr>
      <t>30ul</t>
    </r>
    <r>
      <rPr>
        <sz val="11"/>
        <color theme="1"/>
        <rFont val="Calibri"/>
        <family val="2"/>
        <scheme val="minor"/>
      </rPr>
      <t xml:space="preserve"> of the FLT directly to the tube of FB. Vortex to mix. This will be the </t>
    </r>
    <r>
      <rPr>
        <i/>
        <sz val="11"/>
        <color theme="1"/>
        <rFont val="Calibri"/>
        <family val="2"/>
        <scheme val="minor"/>
      </rPr>
      <t>priming mix</t>
    </r>
  </si>
  <si>
    <t xml:space="preserve">Load 800ul of the priming mix into the flowcell via priming port. </t>
  </si>
  <si>
    <t>Place the tip of your pipette into the priming port</t>
  </si>
  <si>
    <t>Using the pipette's wheel to slowly dispense liquid, dispense a small droplet on top of the priming port then quickly insert the tip of your pipette into the priming port. This ensures an airtight seal</t>
  </si>
  <si>
    <t>Wait 5 minutes</t>
  </si>
  <si>
    <t>Take 20ul of the RNA library and mix it with 17.5ul of nuclease free water</t>
  </si>
  <si>
    <r>
      <t xml:space="preserve">Add </t>
    </r>
    <r>
      <rPr>
        <b/>
        <sz val="11"/>
        <color theme="1"/>
        <rFont val="Calibri"/>
        <family val="2"/>
        <scheme val="minor"/>
      </rPr>
      <t>37.5ul</t>
    </r>
    <r>
      <rPr>
        <sz val="11"/>
        <color theme="1"/>
        <rFont val="Calibri"/>
        <family val="2"/>
        <scheme val="minor"/>
      </rPr>
      <t xml:space="preserve"> of RRB to your diluted RNA</t>
    </r>
  </si>
  <si>
    <t>Lift the flowcell sample port</t>
  </si>
  <si>
    <r>
      <t xml:space="preserve">Load 200ul of the priming mix into the flowcell </t>
    </r>
    <r>
      <rPr>
        <b/>
        <u/>
        <sz val="12"/>
        <color theme="1"/>
        <rFont val="Calibri"/>
        <family val="2"/>
        <scheme val="minor"/>
      </rPr>
      <t>priming</t>
    </r>
    <r>
      <rPr>
        <sz val="11"/>
        <color theme="1"/>
        <rFont val="Calibri"/>
        <family val="2"/>
        <scheme val="minor"/>
      </rPr>
      <t xml:space="preserve"> port</t>
    </r>
  </si>
  <si>
    <t>Mix the prepared library by pipetting up and down before loading</t>
  </si>
  <si>
    <t>Add 75ul of sample to the sample port in a dropwise fashion. Wait for the drop to disappear before adding another drop</t>
  </si>
  <si>
    <t>Replace the sample port</t>
  </si>
  <si>
    <t>Close the priming port</t>
  </si>
  <si>
    <t>Close the GridION lid and begin sequencing</t>
  </si>
  <si>
    <t>make a 1:10 dilution of 0.5M EDTA, then add 5ul of diluted EDTA to polyA mix to stop reaction (final concentration of EDTA in solution should be 0.01M)</t>
  </si>
  <si>
    <t>1.0 30mL pH7 rep 2</t>
  </si>
  <si>
    <t>3A 30mL pH7 culture 2 rep 2</t>
  </si>
  <si>
    <t>Incubate at 37°C for 1.5 minutes, make diluted EDTA during this incubation.</t>
  </si>
  <si>
    <t>: Volume of pooled reps</t>
  </si>
  <si>
    <t>If pooling reps, combine them into one tube now. Report the final volume of the pool below</t>
  </si>
  <si>
    <r>
      <t xml:space="preserve">Add </t>
    </r>
    <r>
      <rPr>
        <b/>
        <sz val="11"/>
        <color theme="1"/>
        <rFont val="Calibri"/>
        <family val="2"/>
        <scheme val="minor"/>
      </rPr>
      <t xml:space="preserve">a 2.2X volume </t>
    </r>
    <r>
      <rPr>
        <sz val="11"/>
        <color theme="1"/>
        <rFont val="Calibri"/>
        <family val="2"/>
        <scheme val="minor"/>
      </rPr>
      <t>of resuspended RNAClean XP beads to each sample</t>
    </r>
  </si>
  <si>
    <t>: bead volume (ul) needed for a 2.2X cleanup</t>
  </si>
  <si>
    <t>Input rRNA-depleted RNA in 15ul of nuclease free water</t>
  </si>
  <si>
    <r>
      <t xml:space="preserve">Pipette </t>
    </r>
    <r>
      <rPr>
        <b/>
        <sz val="11"/>
        <color theme="1"/>
        <rFont val="Calibri"/>
        <family val="2"/>
        <scheme val="minor"/>
      </rPr>
      <t>15ul</t>
    </r>
    <r>
      <rPr>
        <sz val="11"/>
        <color theme="1"/>
        <rFont val="Calibri"/>
        <family val="2"/>
        <scheme val="minor"/>
      </rPr>
      <t xml:space="preserve"> of the eluate into a clean 1.5mL tube</t>
    </r>
  </si>
  <si>
    <r>
      <t xml:space="preserve">Remove the tube from the magnetic stand and resuspend the pellet in </t>
    </r>
    <r>
      <rPr>
        <b/>
        <sz val="11"/>
        <color theme="1"/>
        <rFont val="Calibri"/>
        <family val="2"/>
        <scheme val="minor"/>
      </rPr>
      <t>16ul</t>
    </r>
    <r>
      <rPr>
        <sz val="11"/>
        <color theme="1"/>
        <rFont val="Calibri"/>
        <family val="2"/>
        <scheme val="minor"/>
      </rPr>
      <t xml:space="preserve"> of nuclease-free water</t>
    </r>
  </si>
  <si>
    <r>
      <t xml:space="preserve">Remove the tube from the magnetic stand and resuspend the pellet in </t>
    </r>
    <r>
      <rPr>
        <b/>
        <sz val="11"/>
        <color theme="1"/>
        <rFont val="Calibri"/>
        <family val="2"/>
        <scheme val="minor"/>
      </rPr>
      <t>10ul</t>
    </r>
    <r>
      <rPr>
        <sz val="11"/>
        <color theme="1"/>
        <rFont val="Calibri"/>
        <family val="2"/>
        <scheme val="minor"/>
      </rPr>
      <t xml:space="preserve"> of nuclease-free water</t>
    </r>
  </si>
  <si>
    <r>
      <t xml:space="preserve">Pipette </t>
    </r>
    <r>
      <rPr>
        <b/>
        <sz val="11"/>
        <color theme="1"/>
        <rFont val="Calibri"/>
        <family val="2"/>
        <scheme val="minor"/>
      </rPr>
      <t>9ul</t>
    </r>
    <r>
      <rPr>
        <sz val="11"/>
        <color theme="1"/>
        <rFont val="Calibri"/>
        <family val="2"/>
        <scheme val="minor"/>
      </rPr>
      <t xml:space="preserve"> of the eluate into a clean 1.5mL tube</t>
    </r>
  </si>
  <si>
    <r>
      <t>In a Rnase-free PCR strip tube, normalize yours samples to [minimum:</t>
    </r>
    <r>
      <rPr>
        <b/>
        <sz val="11"/>
        <color theme="1"/>
        <rFont val="Calibri"/>
        <family val="2"/>
        <scheme val="minor"/>
      </rPr>
      <t>50ng</t>
    </r>
    <r>
      <rPr>
        <sz val="11"/>
        <color theme="1"/>
        <rFont val="Calibri"/>
        <family val="2"/>
        <scheme val="minor"/>
      </rPr>
      <t xml:space="preserve">, maximum: </t>
    </r>
    <r>
      <rPr>
        <b/>
        <sz val="11"/>
        <color theme="1"/>
        <rFont val="Calibri"/>
        <family val="2"/>
        <scheme val="minor"/>
      </rPr>
      <t>500ng]</t>
    </r>
    <r>
      <rPr>
        <sz val="11"/>
        <color theme="1"/>
        <rFont val="Calibri"/>
        <family val="2"/>
        <scheme val="minor"/>
      </rPr>
      <t xml:space="preserve"> in </t>
    </r>
    <r>
      <rPr>
        <i/>
        <sz val="11"/>
        <color theme="1"/>
        <rFont val="Calibri"/>
        <family val="2"/>
        <scheme val="minor"/>
      </rPr>
      <t>9ul</t>
    </r>
    <r>
      <rPr>
        <sz val="11"/>
        <color theme="1"/>
        <rFont val="Calibri"/>
        <family val="2"/>
        <scheme val="minor"/>
      </rPr>
      <t>. Use the "Normalization" tab</t>
    </r>
  </si>
  <si>
    <t xml:space="preserve">This is a safe, overnight stopping point. If stopping, freeze sample in -80C overnight. </t>
  </si>
  <si>
    <t>*</t>
  </si>
  <si>
    <r>
      <t xml:space="preserve">Input 1µg of polyadenelated RNA in </t>
    </r>
    <r>
      <rPr>
        <b/>
        <sz val="11"/>
        <color theme="1"/>
        <rFont val="Calibri"/>
        <family val="2"/>
        <scheme val="minor"/>
      </rPr>
      <t>11ul</t>
    </r>
    <r>
      <rPr>
        <sz val="11"/>
        <color theme="1"/>
        <rFont val="Calibri"/>
        <family val="2"/>
        <scheme val="minor"/>
      </rPr>
      <t xml:space="preserve"> of nuclease free water</t>
    </r>
  </si>
  <si>
    <t xml:space="preserve">   </t>
  </si>
  <si>
    <t>do not out samples on ice after- all probe hybridizarions.</t>
  </si>
  <si>
    <t>Remove RNA XP beads 30 min before using</t>
  </si>
  <si>
    <t>per ul</t>
  </si>
  <si>
    <t>for 21 ul</t>
  </si>
  <si>
    <t>:input for 21 ul</t>
  </si>
  <si>
    <t>total volume before EDTA: 28ul</t>
  </si>
  <si>
    <t>1:10 EDTA 7ul for final volume of 35ul</t>
  </si>
  <si>
    <t>used 0.5ul/sample</t>
  </si>
  <si>
    <t>Takes longer with viscosity and amount of DNA/RNA</t>
  </si>
  <si>
    <t>3A prep 1</t>
  </si>
  <si>
    <t>3A prep 2</t>
  </si>
  <si>
    <t>: water per ul of RNA</t>
  </si>
  <si>
    <t>: water input for 30 ul of RNA</t>
  </si>
  <si>
    <t>:total volume of diluted RNA</t>
  </si>
  <si>
    <t>*56.25ul of RRB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</si>
</sst>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444444"/>
      <name val="Roboto"/>
    </font>
    <font>
      <b/>
      <sz val="18"/>
      <color theme="1"/>
      <name val="Calibri"/>
      <family val="2"/>
      <scheme val="minor"/>
    </font>
    <font>
      <sz val="11"/>
      <color theme="1"/>
      <name val="Wingdings"/>
      <charset val="2"/>
    </font>
    <font>
      <sz val="20"/>
      <color theme="1"/>
      <name val="Wingdings"/>
      <charset val="2"/>
    </font>
    <font>
      <sz val="22"/>
      <color theme="1"/>
      <name val="Wingdings"/>
      <charset val="2"/>
    </font>
    <font>
      <b/>
      <u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F3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  <xf numFmtId="0" fontId="4" fillId="0" borderId="0" applyNumberFormat="0" applyFill="0" applyBorder="0" applyAlignment="0" applyProtection="0"/>
  </cellStyleXfs>
  <cellXfs count="37">
    <xf numFmtId="0" fontId="0" fillId="0" borderId="0" xfId="0"/>
    <xf numFmtId="0" fontId="4" fillId="0" borderId="0" xfId="3"/>
    <xf numFmtId="0" fontId="0" fillId="4" borderId="0" xfId="0" applyFill="1"/>
    <xf numFmtId="0" fontId="0" fillId="4" borderId="2" xfId="0" applyFill="1" applyBorder="1"/>
    <xf numFmtId="0" fontId="2" fillId="2" borderId="1" xfId="1"/>
    <xf numFmtId="0" fontId="5" fillId="3" borderId="2" xfId="2" applyFont="1" applyBorder="1"/>
    <xf numFmtId="0" fontId="0" fillId="5" borderId="0" xfId="0" applyFill="1"/>
    <xf numFmtId="0" fontId="0" fillId="5" borderId="3" xfId="0" applyFill="1" applyBorder="1"/>
    <xf numFmtId="0" fontId="0" fillId="5" borderId="0" xfId="0" applyFill="1" applyAlignment="1">
      <alignment horizontal="center"/>
    </xf>
    <xf numFmtId="0" fontId="0" fillId="5" borderId="4" xfId="0" applyFill="1" applyBorder="1"/>
    <xf numFmtId="0" fontId="0" fillId="5" borderId="2" xfId="0" applyFill="1" applyBorder="1"/>
    <xf numFmtId="0" fontId="3" fillId="5" borderId="2" xfId="0" applyFont="1" applyFill="1" applyBorder="1" applyAlignment="1">
      <alignment horizontal="center"/>
    </xf>
    <xf numFmtId="0" fontId="6" fillId="5" borderId="0" xfId="0" applyFont="1" applyFill="1"/>
    <xf numFmtId="0" fontId="0" fillId="5" borderId="0" xfId="0" applyFill="1" applyAlignment="1">
      <alignment horizontal="right"/>
    </xf>
    <xf numFmtId="0" fontId="0" fillId="5" borderId="2" xfId="0" applyFill="1" applyBorder="1" applyAlignment="1">
      <alignment horizontal="center"/>
    </xf>
    <xf numFmtId="0" fontId="6" fillId="5" borderId="2" xfId="0" applyFont="1" applyFill="1" applyBorder="1"/>
    <xf numFmtId="0" fontId="8" fillId="5" borderId="2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right"/>
    </xf>
    <xf numFmtId="0" fontId="11" fillId="5" borderId="0" xfId="0" applyFont="1" applyFill="1" applyAlignment="1">
      <alignment horizontal="right"/>
    </xf>
    <xf numFmtId="0" fontId="12" fillId="5" borderId="0" xfId="0" applyFont="1" applyFill="1" applyAlignment="1">
      <alignment horizontal="right"/>
    </xf>
    <xf numFmtId="0" fontId="3" fillId="5" borderId="2" xfId="0" applyFont="1" applyFill="1" applyBorder="1"/>
    <xf numFmtId="0" fontId="0" fillId="6" borderId="2" xfId="0" applyFill="1" applyBorder="1"/>
    <xf numFmtId="0" fontId="2" fillId="6" borderId="1" xfId="1" applyFill="1"/>
    <xf numFmtId="0" fontId="0" fillId="6" borderId="0" xfId="0" applyFill="1"/>
    <xf numFmtId="0" fontId="3" fillId="5" borderId="0" xfId="0" applyFont="1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9" fillId="4" borderId="2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</cellXfs>
  <cellStyles count="4">
    <cellStyle name="20% - Accent1" xfId="2" builtinId="30"/>
    <cellStyle name="Hyperlink" xfId="3" builtinId="8"/>
    <cellStyle name="Input" xfId="1" builtinId="20"/>
    <cellStyle name="Normal" xfId="0" builtinId="0"/>
  </cellStyles>
  <dxfs count="0"/>
  <tableStyles count="0" defaultTableStyle="TableStyleMedium2" defaultPivotStyle="PivotStyleLight16"/>
  <colors>
    <mruColors>
      <color rgb="FFFFFF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7</xdr:col>
      <xdr:colOff>381001</xdr:colOff>
      <xdr:row>16</xdr:row>
      <xdr:rowOff>109937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859568-2FE2-F60E-AE3C-89105717C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4648200" cy="31579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file:///C:\Users\Users\tmamagha\Downloads\direct-rna-sequencing-sqk-rna002-DRS_9080_v2_revS_14Aug2019-minion%20(4).pdf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neb.com/en-us/products/b6058-nebnext-quick-ligation-reaction-buffer" TargetMode="External"/><Relationship Id="rId7" Type="http://schemas.openxmlformats.org/officeDocument/2006/relationships/hyperlink" Target="https://www.neb.com/en-us/products/e7850-nebnext-rrna-depletion-kit-bacteria" TargetMode="External"/><Relationship Id="rId2" Type="http://schemas.openxmlformats.org/officeDocument/2006/relationships/hyperlink" Target="https://www.neb.com/en-us/products/n0447-deoxynucleotide-dntp-solution-mix" TargetMode="External"/><Relationship Id="rId1" Type="http://schemas.openxmlformats.org/officeDocument/2006/relationships/hyperlink" Target="https://www.thermofisher.com/order/catalog/product/18080044" TargetMode="External"/><Relationship Id="rId6" Type="http://schemas.openxmlformats.org/officeDocument/2006/relationships/hyperlink" Target="https://www.beckman.com/reagents/genomic/cleanup-and-size-selection/rna-and-cdna/performance" TargetMode="External"/><Relationship Id="rId5" Type="http://schemas.openxmlformats.org/officeDocument/2006/relationships/hyperlink" Target="https://www.neb.com/en-us/products/m0276-ecoli-poly-a-polymerase" TargetMode="External"/><Relationship Id="rId4" Type="http://schemas.openxmlformats.org/officeDocument/2006/relationships/hyperlink" Target="https://www.neb.com/en-us/products/m0202-t4-dna-ligas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E3EFC-B520-43DA-B591-CD3D280192C7}">
  <dimension ref="B6:I29"/>
  <sheetViews>
    <sheetView workbookViewId="0">
      <selection activeCell="B20" sqref="B20:H25"/>
    </sheetView>
  </sheetViews>
  <sheetFormatPr defaultRowHeight="14.4" x14ac:dyDescent="0.3"/>
  <cols>
    <col min="9" max="9" width="33.109375" bestFit="1" customWidth="1"/>
  </cols>
  <sheetData>
    <row r="6" spans="9:9" x14ac:dyDescent="0.3">
      <c r="I6" t="s">
        <v>0</v>
      </c>
    </row>
    <row r="7" spans="9:9" x14ac:dyDescent="0.3">
      <c r="I7" s="1" t="s">
        <v>1</v>
      </c>
    </row>
    <row r="19" spans="2:8" x14ac:dyDescent="0.3">
      <c r="B19" s="27" t="s">
        <v>2</v>
      </c>
      <c r="C19" s="27"/>
    </row>
    <row r="20" spans="2:8" ht="15" customHeight="1" x14ac:dyDescent="0.3">
      <c r="B20" s="26" t="s">
        <v>8</v>
      </c>
      <c r="C20" s="26"/>
      <c r="D20" s="26"/>
      <c r="E20" s="26"/>
      <c r="F20" s="26"/>
      <c r="G20" s="26"/>
      <c r="H20" s="26"/>
    </row>
    <row r="21" spans="2:8" x14ac:dyDescent="0.3">
      <c r="B21" s="26"/>
      <c r="C21" s="26"/>
      <c r="D21" s="26"/>
      <c r="E21" s="26"/>
      <c r="F21" s="26"/>
      <c r="G21" s="26"/>
      <c r="H21" s="26"/>
    </row>
    <row r="22" spans="2:8" x14ac:dyDescent="0.3">
      <c r="B22" s="26"/>
      <c r="C22" s="26"/>
      <c r="D22" s="26"/>
      <c r="E22" s="26"/>
      <c r="F22" s="26"/>
      <c r="G22" s="26"/>
      <c r="H22" s="26"/>
    </row>
    <row r="23" spans="2:8" x14ac:dyDescent="0.3">
      <c r="B23" s="26"/>
      <c r="C23" s="26"/>
      <c r="D23" s="26"/>
      <c r="E23" s="26"/>
      <c r="F23" s="26"/>
      <c r="G23" s="26"/>
      <c r="H23" s="26"/>
    </row>
    <row r="24" spans="2:8" x14ac:dyDescent="0.3">
      <c r="B24" s="26"/>
      <c r="C24" s="26"/>
      <c r="D24" s="26"/>
      <c r="E24" s="26"/>
      <c r="F24" s="26"/>
      <c r="G24" s="26"/>
      <c r="H24" s="26"/>
    </row>
    <row r="25" spans="2:8" x14ac:dyDescent="0.3">
      <c r="B25" s="26"/>
      <c r="C25" s="26"/>
      <c r="D25" s="26"/>
      <c r="E25" s="26"/>
      <c r="F25" s="26"/>
      <c r="G25" s="26"/>
      <c r="H25" s="26"/>
    </row>
    <row r="26" spans="2:8" x14ac:dyDescent="0.3">
      <c r="B26" s="25" t="s">
        <v>9</v>
      </c>
      <c r="C26" s="25"/>
      <c r="D26" s="25"/>
      <c r="E26" s="25"/>
      <c r="F26" s="25"/>
      <c r="G26" s="25"/>
      <c r="H26" s="25"/>
    </row>
    <row r="27" spans="2:8" x14ac:dyDescent="0.3">
      <c r="B27" s="25"/>
      <c r="C27" s="25"/>
      <c r="D27" s="25"/>
      <c r="E27" s="25"/>
      <c r="F27" s="25"/>
      <c r="G27" s="25"/>
      <c r="H27" s="25"/>
    </row>
    <row r="28" spans="2:8" x14ac:dyDescent="0.3">
      <c r="B28" s="25" t="s">
        <v>62</v>
      </c>
      <c r="C28" s="25"/>
      <c r="D28" s="25"/>
      <c r="E28" s="25"/>
      <c r="F28" s="25"/>
      <c r="G28" s="25"/>
      <c r="H28" s="25"/>
    </row>
    <row r="29" spans="2:8" x14ac:dyDescent="0.3">
      <c r="B29" s="25"/>
      <c r="C29" s="25"/>
      <c r="D29" s="25"/>
      <c r="E29" s="25"/>
      <c r="F29" s="25"/>
      <c r="G29" s="25"/>
      <c r="H29" s="25"/>
    </row>
  </sheetData>
  <mergeCells count="4">
    <mergeCell ref="B26:H27"/>
    <mergeCell ref="B20:H25"/>
    <mergeCell ref="B19:C19"/>
    <mergeCell ref="B28:H29"/>
  </mergeCells>
  <hyperlinks>
    <hyperlink ref="I7" r:id="rId1" xr:uid="{76028B2C-A1A9-4210-9118-875D27F4D5C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82260-1620-4439-97DA-9068F85D58B4}">
  <dimension ref="A2:B8"/>
  <sheetViews>
    <sheetView workbookViewId="0">
      <selection activeCell="A17" sqref="A17"/>
    </sheetView>
  </sheetViews>
  <sheetFormatPr defaultRowHeight="14.4" x14ac:dyDescent="0.3"/>
  <cols>
    <col min="1" max="1" width="38" bestFit="1" customWidth="1"/>
  </cols>
  <sheetData>
    <row r="2" spans="1:2" x14ac:dyDescent="0.3">
      <c r="A2" t="s">
        <v>4</v>
      </c>
      <c r="B2" s="1" t="s">
        <v>3</v>
      </c>
    </row>
    <row r="3" spans="1:2" x14ac:dyDescent="0.3">
      <c r="A3" t="s">
        <v>5</v>
      </c>
      <c r="B3" s="1" t="s">
        <v>3</v>
      </c>
    </row>
    <row r="4" spans="1:2" x14ac:dyDescent="0.3">
      <c r="A4" t="s">
        <v>6</v>
      </c>
      <c r="B4" s="1" t="s">
        <v>3</v>
      </c>
    </row>
    <row r="5" spans="1:2" x14ac:dyDescent="0.3">
      <c r="A5" t="s">
        <v>7</v>
      </c>
      <c r="B5" s="1" t="s">
        <v>3</v>
      </c>
    </row>
    <row r="6" spans="1:2" x14ac:dyDescent="0.3">
      <c r="A6" t="s">
        <v>34</v>
      </c>
      <c r="B6" s="1" t="s">
        <v>3</v>
      </c>
    </row>
    <row r="7" spans="1:2" x14ac:dyDescent="0.3">
      <c r="A7" t="s">
        <v>42</v>
      </c>
      <c r="B7" s="1" t="s">
        <v>3</v>
      </c>
    </row>
    <row r="8" spans="1:2" x14ac:dyDescent="0.3">
      <c r="A8" t="s">
        <v>43</v>
      </c>
      <c r="B8" s="1" t="s">
        <v>3</v>
      </c>
    </row>
  </sheetData>
  <hyperlinks>
    <hyperlink ref="B2" r:id="rId1" xr:uid="{7377AACE-0B96-4A7E-BAE2-892DC4858DBD}"/>
    <hyperlink ref="B3" r:id="rId2" location="Product%20Information" xr:uid="{1496E3F1-33E8-40F8-ABB9-3FF3C6591E41}"/>
    <hyperlink ref="B4" r:id="rId3" location="Product%20Information" xr:uid="{4957875B-57F8-4950-8EE3-E3CA44993483}"/>
    <hyperlink ref="B5" r:id="rId4" location="Product%20Information" xr:uid="{949E6A50-F531-4BFD-BC97-0BFFCC2E55DC}"/>
    <hyperlink ref="B7" r:id="rId5" location="Product%20Information" xr:uid="{E60874CF-C297-4911-B8CD-5C6B097065D0}"/>
    <hyperlink ref="B6" r:id="rId6" xr:uid="{E29F712A-E164-4A47-BBBB-17EF30567FD7}"/>
    <hyperlink ref="B8" r:id="rId7" location="Product%20Information" xr:uid="{F2B203C1-D5F9-45C2-8D67-356724FB862D}"/>
  </hyperlinks>
  <pageMargins left="0.7" right="0.7" top="0.75" bottom="0.75" header="0.3" footer="0.3"/>
  <pageSetup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0F5F2-AFE3-4A3B-8A0D-01942FE8BDCB}">
  <dimension ref="A1:F96"/>
  <sheetViews>
    <sheetView workbookViewId="0">
      <selection activeCell="B10" sqref="B10"/>
    </sheetView>
  </sheetViews>
  <sheetFormatPr defaultColWidth="9.109375" defaultRowHeight="14.4" x14ac:dyDescent="0.3"/>
  <cols>
    <col min="1" max="1" width="55.6640625" style="2" bestFit="1" customWidth="1"/>
    <col min="2" max="2" width="22.6640625" style="2" bestFit="1" customWidth="1"/>
    <col min="3" max="3" width="26.88671875" style="2" bestFit="1" customWidth="1"/>
    <col min="4" max="4" width="26.44140625" style="2" bestFit="1" customWidth="1"/>
    <col min="5" max="5" width="37.6640625" style="2" bestFit="1" customWidth="1"/>
    <col min="6" max="6" width="35.109375" style="2" bestFit="1" customWidth="1"/>
    <col min="7" max="16384" width="9.109375" style="2"/>
  </cols>
  <sheetData>
    <row r="1" spans="1:6" ht="15.6" x14ac:dyDescent="0.3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</row>
    <row r="2" spans="1:6" x14ac:dyDescent="0.3">
      <c r="A2" s="3" t="s">
        <v>138</v>
      </c>
      <c r="B2" s="3">
        <v>3000</v>
      </c>
      <c r="C2" s="4">
        <v>1000</v>
      </c>
      <c r="D2" s="4">
        <v>11</v>
      </c>
      <c r="E2" s="3">
        <f>C2/B2</f>
        <v>0.33333333333333331</v>
      </c>
      <c r="F2" s="3">
        <f t="shared" ref="F2:F65" si="0">D2-E2</f>
        <v>10.666666666666666</v>
      </c>
    </row>
    <row r="3" spans="1:6" s="23" customFormat="1" x14ac:dyDescent="0.3">
      <c r="A3" s="21" t="s">
        <v>139</v>
      </c>
      <c r="B3" s="21">
        <v>1890</v>
      </c>
      <c r="C3" s="22">
        <v>1000</v>
      </c>
      <c r="D3" s="22">
        <v>11</v>
      </c>
      <c r="E3" s="21">
        <f t="shared" ref="E3:E66" si="1">C3/B3</f>
        <v>0.52910052910052907</v>
      </c>
      <c r="F3" s="21">
        <f t="shared" si="0"/>
        <v>10.470899470899472</v>
      </c>
    </row>
    <row r="4" spans="1:6" x14ac:dyDescent="0.3">
      <c r="A4" s="3"/>
      <c r="B4" s="3"/>
      <c r="C4" s="4"/>
      <c r="D4" s="4"/>
      <c r="E4" s="3" t="e">
        <f t="shared" si="1"/>
        <v>#DIV/0!</v>
      </c>
      <c r="F4" s="3" t="e">
        <f t="shared" si="0"/>
        <v>#DIV/0!</v>
      </c>
    </row>
    <row r="5" spans="1:6" x14ac:dyDescent="0.3">
      <c r="A5" s="3"/>
      <c r="B5" s="3"/>
      <c r="C5" s="4"/>
      <c r="D5" s="4"/>
      <c r="E5" s="3" t="e">
        <f t="shared" si="1"/>
        <v>#DIV/0!</v>
      </c>
      <c r="F5" s="3" t="e">
        <f t="shared" si="0"/>
        <v>#DIV/0!</v>
      </c>
    </row>
    <row r="6" spans="1:6" x14ac:dyDescent="0.3">
      <c r="A6" s="3"/>
      <c r="B6" s="3"/>
      <c r="C6" s="4"/>
      <c r="D6" s="4"/>
      <c r="E6" s="3"/>
      <c r="F6" s="3"/>
    </row>
    <row r="7" spans="1:6" x14ac:dyDescent="0.3">
      <c r="A7" s="3"/>
      <c r="B7" s="3"/>
      <c r="C7" s="4"/>
      <c r="D7" s="4"/>
      <c r="E7" s="3"/>
      <c r="F7" s="3"/>
    </row>
    <row r="8" spans="1:6" x14ac:dyDescent="0.3">
      <c r="A8" s="3"/>
      <c r="B8" s="3"/>
      <c r="C8" s="4"/>
      <c r="D8" s="4"/>
      <c r="E8" s="3" t="e">
        <f t="shared" si="1"/>
        <v>#DIV/0!</v>
      </c>
      <c r="F8" s="3" t="e">
        <f t="shared" si="0"/>
        <v>#DIV/0!</v>
      </c>
    </row>
    <row r="9" spans="1:6" x14ac:dyDescent="0.3">
      <c r="A9" s="3"/>
      <c r="B9" s="3"/>
      <c r="C9" s="4"/>
      <c r="D9" s="4"/>
      <c r="E9" s="3" t="e">
        <f t="shared" si="1"/>
        <v>#DIV/0!</v>
      </c>
      <c r="F9" s="3" t="e">
        <f t="shared" si="0"/>
        <v>#DIV/0!</v>
      </c>
    </row>
    <row r="10" spans="1:6" x14ac:dyDescent="0.3">
      <c r="A10" s="3"/>
      <c r="B10" s="3"/>
      <c r="C10" s="4"/>
      <c r="D10" s="4"/>
      <c r="E10" s="3" t="e">
        <f t="shared" si="1"/>
        <v>#DIV/0!</v>
      </c>
      <c r="F10" s="3" t="e">
        <f t="shared" si="0"/>
        <v>#DIV/0!</v>
      </c>
    </row>
    <row r="11" spans="1:6" x14ac:dyDescent="0.3">
      <c r="A11" s="3"/>
      <c r="B11" s="3"/>
      <c r="C11" s="4"/>
      <c r="D11" s="4"/>
      <c r="E11" s="3" t="e">
        <f t="shared" si="1"/>
        <v>#DIV/0!</v>
      </c>
      <c r="F11" s="3" t="e">
        <f t="shared" si="0"/>
        <v>#DIV/0!</v>
      </c>
    </row>
    <row r="12" spans="1:6" x14ac:dyDescent="0.3">
      <c r="A12" s="3"/>
      <c r="B12" s="3"/>
      <c r="C12" s="4"/>
      <c r="D12" s="4"/>
      <c r="E12" s="3" t="e">
        <f t="shared" si="1"/>
        <v>#DIV/0!</v>
      </c>
      <c r="F12" s="3" t="e">
        <f t="shared" si="0"/>
        <v>#DIV/0!</v>
      </c>
    </row>
    <row r="13" spans="1:6" x14ac:dyDescent="0.3">
      <c r="A13" s="3"/>
      <c r="B13" s="3"/>
      <c r="C13" s="4"/>
      <c r="D13" s="4"/>
      <c r="E13" s="3" t="e">
        <f t="shared" si="1"/>
        <v>#DIV/0!</v>
      </c>
      <c r="F13" s="3" t="e">
        <f t="shared" si="0"/>
        <v>#DIV/0!</v>
      </c>
    </row>
    <row r="14" spans="1:6" x14ac:dyDescent="0.3">
      <c r="A14" s="3"/>
      <c r="B14" s="3"/>
      <c r="C14" s="4"/>
      <c r="D14" s="4"/>
      <c r="E14" s="3" t="e">
        <f t="shared" si="1"/>
        <v>#DIV/0!</v>
      </c>
      <c r="F14" s="3" t="e">
        <f t="shared" si="0"/>
        <v>#DIV/0!</v>
      </c>
    </row>
    <row r="15" spans="1:6" x14ac:dyDescent="0.3">
      <c r="A15" s="3"/>
      <c r="B15" s="3"/>
      <c r="C15" s="4"/>
      <c r="D15" s="4"/>
      <c r="E15" s="3" t="e">
        <f t="shared" si="1"/>
        <v>#DIV/0!</v>
      </c>
      <c r="F15" s="3" t="e">
        <f t="shared" si="0"/>
        <v>#DIV/0!</v>
      </c>
    </row>
    <row r="16" spans="1:6" x14ac:dyDescent="0.3">
      <c r="A16" s="3"/>
      <c r="B16" s="3"/>
      <c r="C16" s="4"/>
      <c r="D16" s="4"/>
      <c r="E16" s="3" t="e">
        <f t="shared" si="1"/>
        <v>#DIV/0!</v>
      </c>
      <c r="F16" s="3" t="e">
        <f t="shared" si="0"/>
        <v>#DIV/0!</v>
      </c>
    </row>
    <row r="17" spans="1:6" x14ac:dyDescent="0.3">
      <c r="A17" s="3"/>
      <c r="B17" s="3"/>
      <c r="C17" s="4"/>
      <c r="D17" s="4"/>
      <c r="E17" s="3" t="e">
        <f t="shared" si="1"/>
        <v>#DIV/0!</v>
      </c>
      <c r="F17" s="3" t="e">
        <f t="shared" si="0"/>
        <v>#DIV/0!</v>
      </c>
    </row>
    <row r="18" spans="1:6" x14ac:dyDescent="0.3">
      <c r="A18" s="3"/>
      <c r="B18" s="3"/>
      <c r="C18" s="4"/>
      <c r="D18" s="4"/>
      <c r="E18" s="3" t="e">
        <f t="shared" si="1"/>
        <v>#DIV/0!</v>
      </c>
      <c r="F18" s="3" t="e">
        <f t="shared" si="0"/>
        <v>#DIV/0!</v>
      </c>
    </row>
    <row r="19" spans="1:6" x14ac:dyDescent="0.3">
      <c r="A19" s="3"/>
      <c r="B19" s="3"/>
      <c r="C19" s="4"/>
      <c r="D19" s="4"/>
      <c r="E19" s="3" t="e">
        <f t="shared" si="1"/>
        <v>#DIV/0!</v>
      </c>
      <c r="F19" s="3" t="e">
        <f t="shared" si="0"/>
        <v>#DIV/0!</v>
      </c>
    </row>
    <row r="20" spans="1:6" x14ac:dyDescent="0.3">
      <c r="A20" s="3"/>
      <c r="B20" s="3"/>
      <c r="C20" s="4"/>
      <c r="D20" s="4"/>
      <c r="E20" s="3" t="e">
        <f t="shared" si="1"/>
        <v>#DIV/0!</v>
      </c>
      <c r="F20" s="3" t="e">
        <f t="shared" si="0"/>
        <v>#DIV/0!</v>
      </c>
    </row>
    <row r="21" spans="1:6" x14ac:dyDescent="0.3">
      <c r="A21" s="3"/>
      <c r="B21" s="3"/>
      <c r="C21" s="4"/>
      <c r="D21" s="4"/>
      <c r="E21" s="3" t="e">
        <f t="shared" si="1"/>
        <v>#DIV/0!</v>
      </c>
      <c r="F21" s="3" t="e">
        <f t="shared" si="0"/>
        <v>#DIV/0!</v>
      </c>
    </row>
    <row r="22" spans="1:6" x14ac:dyDescent="0.3">
      <c r="A22" s="3"/>
      <c r="B22" s="3"/>
      <c r="C22" s="4"/>
      <c r="D22" s="4"/>
      <c r="E22" s="3" t="e">
        <f t="shared" si="1"/>
        <v>#DIV/0!</v>
      </c>
      <c r="F22" s="3" t="e">
        <f t="shared" si="0"/>
        <v>#DIV/0!</v>
      </c>
    </row>
    <row r="23" spans="1:6" x14ac:dyDescent="0.3">
      <c r="A23" s="3"/>
      <c r="B23" s="3"/>
      <c r="C23" s="4"/>
      <c r="D23" s="4"/>
      <c r="E23" s="3" t="e">
        <f t="shared" si="1"/>
        <v>#DIV/0!</v>
      </c>
      <c r="F23" s="3" t="e">
        <f t="shared" si="0"/>
        <v>#DIV/0!</v>
      </c>
    </row>
    <row r="24" spans="1:6" x14ac:dyDescent="0.3">
      <c r="A24" s="3"/>
      <c r="B24" s="3"/>
      <c r="C24" s="4"/>
      <c r="D24" s="4"/>
      <c r="E24" s="3" t="e">
        <f t="shared" si="1"/>
        <v>#DIV/0!</v>
      </c>
      <c r="F24" s="3" t="e">
        <f t="shared" si="0"/>
        <v>#DIV/0!</v>
      </c>
    </row>
    <row r="25" spans="1:6" x14ac:dyDescent="0.3">
      <c r="A25" s="3"/>
      <c r="B25" s="3"/>
      <c r="C25" s="4"/>
      <c r="D25" s="4"/>
      <c r="E25" s="3" t="e">
        <f t="shared" si="1"/>
        <v>#DIV/0!</v>
      </c>
      <c r="F25" s="3" t="e">
        <f t="shared" si="0"/>
        <v>#DIV/0!</v>
      </c>
    </row>
    <row r="26" spans="1:6" x14ac:dyDescent="0.3">
      <c r="A26" s="3"/>
      <c r="B26" s="3"/>
      <c r="C26" s="4"/>
      <c r="D26" s="4"/>
      <c r="E26" s="3" t="e">
        <f t="shared" si="1"/>
        <v>#DIV/0!</v>
      </c>
      <c r="F26" s="3" t="e">
        <f t="shared" si="0"/>
        <v>#DIV/0!</v>
      </c>
    </row>
    <row r="27" spans="1:6" x14ac:dyDescent="0.3">
      <c r="A27" s="3"/>
      <c r="B27" s="3"/>
      <c r="C27" s="4"/>
      <c r="D27" s="4"/>
      <c r="E27" s="3" t="e">
        <f t="shared" si="1"/>
        <v>#DIV/0!</v>
      </c>
      <c r="F27" s="3" t="e">
        <f t="shared" si="0"/>
        <v>#DIV/0!</v>
      </c>
    </row>
    <row r="28" spans="1:6" x14ac:dyDescent="0.3">
      <c r="A28" s="3"/>
      <c r="B28" s="3"/>
      <c r="C28" s="4"/>
      <c r="D28" s="4"/>
      <c r="E28" s="3" t="e">
        <f t="shared" si="1"/>
        <v>#DIV/0!</v>
      </c>
      <c r="F28" s="3" t="e">
        <f t="shared" si="0"/>
        <v>#DIV/0!</v>
      </c>
    </row>
    <row r="29" spans="1:6" x14ac:dyDescent="0.3">
      <c r="A29" s="3"/>
      <c r="B29" s="3"/>
      <c r="C29" s="4"/>
      <c r="D29" s="4"/>
      <c r="E29" s="3" t="e">
        <f t="shared" si="1"/>
        <v>#DIV/0!</v>
      </c>
      <c r="F29" s="3" t="e">
        <f t="shared" si="0"/>
        <v>#DIV/0!</v>
      </c>
    </row>
    <row r="30" spans="1:6" x14ac:dyDescent="0.3">
      <c r="A30" s="3"/>
      <c r="B30" s="3"/>
      <c r="C30" s="4"/>
      <c r="D30" s="4"/>
      <c r="E30" s="3" t="e">
        <f t="shared" si="1"/>
        <v>#DIV/0!</v>
      </c>
      <c r="F30" s="3" t="e">
        <f t="shared" si="0"/>
        <v>#DIV/0!</v>
      </c>
    </row>
    <row r="31" spans="1:6" x14ac:dyDescent="0.3">
      <c r="A31" s="3"/>
      <c r="B31" s="3"/>
      <c r="C31" s="4"/>
      <c r="D31" s="4"/>
      <c r="E31" s="3" t="e">
        <f t="shared" si="1"/>
        <v>#DIV/0!</v>
      </c>
      <c r="F31" s="3" t="e">
        <f t="shared" si="0"/>
        <v>#DIV/0!</v>
      </c>
    </row>
    <row r="32" spans="1:6" x14ac:dyDescent="0.3">
      <c r="A32" s="3"/>
      <c r="B32" s="3"/>
      <c r="C32" s="4"/>
      <c r="D32" s="4"/>
      <c r="E32" s="3" t="e">
        <f t="shared" si="1"/>
        <v>#DIV/0!</v>
      </c>
      <c r="F32" s="3" t="e">
        <f t="shared" si="0"/>
        <v>#DIV/0!</v>
      </c>
    </row>
    <row r="33" spans="1:6" x14ac:dyDescent="0.3">
      <c r="A33" s="3"/>
      <c r="B33" s="3"/>
      <c r="C33" s="4"/>
      <c r="D33" s="4"/>
      <c r="E33" s="3" t="e">
        <f t="shared" si="1"/>
        <v>#DIV/0!</v>
      </c>
      <c r="F33" s="3" t="e">
        <f t="shared" si="0"/>
        <v>#DIV/0!</v>
      </c>
    </row>
    <row r="34" spans="1:6" x14ac:dyDescent="0.3">
      <c r="A34" s="3"/>
      <c r="B34" s="3"/>
      <c r="C34" s="4"/>
      <c r="D34" s="4"/>
      <c r="E34" s="3" t="e">
        <f t="shared" si="1"/>
        <v>#DIV/0!</v>
      </c>
      <c r="F34" s="3" t="e">
        <f t="shared" si="0"/>
        <v>#DIV/0!</v>
      </c>
    </row>
    <row r="35" spans="1:6" x14ac:dyDescent="0.3">
      <c r="A35" s="3"/>
      <c r="B35" s="3"/>
      <c r="C35" s="4"/>
      <c r="D35" s="4"/>
      <c r="E35" s="3" t="e">
        <f t="shared" si="1"/>
        <v>#DIV/0!</v>
      </c>
      <c r="F35" s="3" t="e">
        <f t="shared" si="0"/>
        <v>#DIV/0!</v>
      </c>
    </row>
    <row r="36" spans="1:6" x14ac:dyDescent="0.3">
      <c r="A36" s="3"/>
      <c r="B36" s="3"/>
      <c r="C36" s="4"/>
      <c r="D36" s="4"/>
      <c r="E36" s="3" t="e">
        <f t="shared" si="1"/>
        <v>#DIV/0!</v>
      </c>
      <c r="F36" s="3" t="e">
        <f t="shared" si="0"/>
        <v>#DIV/0!</v>
      </c>
    </row>
    <row r="37" spans="1:6" x14ac:dyDescent="0.3">
      <c r="A37" s="3"/>
      <c r="B37" s="3"/>
      <c r="C37" s="4"/>
      <c r="D37" s="4"/>
      <c r="E37" s="3" t="e">
        <f t="shared" si="1"/>
        <v>#DIV/0!</v>
      </c>
      <c r="F37" s="3" t="e">
        <f t="shared" si="0"/>
        <v>#DIV/0!</v>
      </c>
    </row>
    <row r="38" spans="1:6" x14ac:dyDescent="0.3">
      <c r="A38" s="3"/>
      <c r="B38" s="3"/>
      <c r="C38" s="4"/>
      <c r="D38" s="4"/>
      <c r="E38" s="3" t="e">
        <f t="shared" si="1"/>
        <v>#DIV/0!</v>
      </c>
      <c r="F38" s="3" t="e">
        <f t="shared" si="0"/>
        <v>#DIV/0!</v>
      </c>
    </row>
    <row r="39" spans="1:6" x14ac:dyDescent="0.3">
      <c r="A39" s="3"/>
      <c r="B39" s="3"/>
      <c r="C39" s="4"/>
      <c r="D39" s="4"/>
      <c r="E39" s="3" t="e">
        <f t="shared" si="1"/>
        <v>#DIV/0!</v>
      </c>
      <c r="F39" s="3" t="e">
        <f t="shared" si="0"/>
        <v>#DIV/0!</v>
      </c>
    </row>
    <row r="40" spans="1:6" x14ac:dyDescent="0.3">
      <c r="A40" s="3"/>
      <c r="B40" s="3"/>
      <c r="C40" s="4"/>
      <c r="D40" s="4"/>
      <c r="E40" s="3" t="e">
        <f t="shared" si="1"/>
        <v>#DIV/0!</v>
      </c>
      <c r="F40" s="3" t="e">
        <f t="shared" si="0"/>
        <v>#DIV/0!</v>
      </c>
    </row>
    <row r="41" spans="1:6" x14ac:dyDescent="0.3">
      <c r="A41" s="3"/>
      <c r="B41" s="3"/>
      <c r="C41" s="4"/>
      <c r="D41" s="4"/>
      <c r="E41" s="3" t="e">
        <f t="shared" si="1"/>
        <v>#DIV/0!</v>
      </c>
      <c r="F41" s="3" t="e">
        <f t="shared" si="0"/>
        <v>#DIV/0!</v>
      </c>
    </row>
    <row r="42" spans="1:6" x14ac:dyDescent="0.3">
      <c r="A42" s="3"/>
      <c r="B42" s="3"/>
      <c r="C42" s="4"/>
      <c r="D42" s="4"/>
      <c r="E42" s="3" t="e">
        <f t="shared" si="1"/>
        <v>#DIV/0!</v>
      </c>
      <c r="F42" s="3" t="e">
        <f t="shared" si="0"/>
        <v>#DIV/0!</v>
      </c>
    </row>
    <row r="43" spans="1:6" x14ac:dyDescent="0.3">
      <c r="A43" s="3"/>
      <c r="B43" s="3"/>
      <c r="C43" s="4"/>
      <c r="D43" s="4"/>
      <c r="E43" s="3" t="e">
        <f t="shared" si="1"/>
        <v>#DIV/0!</v>
      </c>
      <c r="F43" s="3" t="e">
        <f t="shared" si="0"/>
        <v>#DIV/0!</v>
      </c>
    </row>
    <row r="44" spans="1:6" x14ac:dyDescent="0.3">
      <c r="A44" s="3"/>
      <c r="B44" s="3"/>
      <c r="C44" s="4"/>
      <c r="D44" s="4"/>
      <c r="E44" s="3" t="e">
        <f t="shared" si="1"/>
        <v>#DIV/0!</v>
      </c>
      <c r="F44" s="3" t="e">
        <f t="shared" si="0"/>
        <v>#DIV/0!</v>
      </c>
    </row>
    <row r="45" spans="1:6" x14ac:dyDescent="0.3">
      <c r="A45" s="3"/>
      <c r="B45" s="3"/>
      <c r="C45" s="4"/>
      <c r="D45" s="4"/>
      <c r="E45" s="3" t="e">
        <f t="shared" si="1"/>
        <v>#DIV/0!</v>
      </c>
      <c r="F45" s="3" t="e">
        <f t="shared" si="0"/>
        <v>#DIV/0!</v>
      </c>
    </row>
    <row r="46" spans="1:6" x14ac:dyDescent="0.3">
      <c r="A46" s="3"/>
      <c r="B46" s="3"/>
      <c r="C46" s="4"/>
      <c r="D46" s="4"/>
      <c r="E46" s="3" t="e">
        <f t="shared" si="1"/>
        <v>#DIV/0!</v>
      </c>
      <c r="F46" s="3" t="e">
        <f t="shared" si="0"/>
        <v>#DIV/0!</v>
      </c>
    </row>
    <row r="47" spans="1:6" x14ac:dyDescent="0.3">
      <c r="A47" s="3"/>
      <c r="B47" s="3"/>
      <c r="C47" s="4"/>
      <c r="D47" s="4"/>
      <c r="E47" s="3" t="e">
        <f t="shared" si="1"/>
        <v>#DIV/0!</v>
      </c>
      <c r="F47" s="3" t="e">
        <f t="shared" si="0"/>
        <v>#DIV/0!</v>
      </c>
    </row>
    <row r="48" spans="1:6" x14ac:dyDescent="0.3">
      <c r="A48" s="3"/>
      <c r="B48" s="3"/>
      <c r="C48" s="4"/>
      <c r="D48" s="4"/>
      <c r="E48" s="3" t="e">
        <f t="shared" si="1"/>
        <v>#DIV/0!</v>
      </c>
      <c r="F48" s="3" t="e">
        <f t="shared" si="0"/>
        <v>#DIV/0!</v>
      </c>
    </row>
    <row r="49" spans="1:6" x14ac:dyDescent="0.3">
      <c r="A49" s="3"/>
      <c r="B49" s="3"/>
      <c r="C49" s="4"/>
      <c r="D49" s="4"/>
      <c r="E49" s="3" t="e">
        <f t="shared" si="1"/>
        <v>#DIV/0!</v>
      </c>
      <c r="F49" s="3" t="e">
        <f t="shared" si="0"/>
        <v>#DIV/0!</v>
      </c>
    </row>
    <row r="50" spans="1:6" x14ac:dyDescent="0.3">
      <c r="A50" s="3"/>
      <c r="B50" s="3"/>
      <c r="C50" s="4"/>
      <c r="D50" s="4"/>
      <c r="E50" s="3" t="e">
        <f t="shared" si="1"/>
        <v>#DIV/0!</v>
      </c>
      <c r="F50" s="3" t="e">
        <f t="shared" si="0"/>
        <v>#DIV/0!</v>
      </c>
    </row>
    <row r="51" spans="1:6" x14ac:dyDescent="0.3">
      <c r="A51" s="3"/>
      <c r="B51" s="3"/>
      <c r="C51" s="4"/>
      <c r="D51" s="4"/>
      <c r="E51" s="3" t="e">
        <f t="shared" si="1"/>
        <v>#DIV/0!</v>
      </c>
      <c r="F51" s="3" t="e">
        <f t="shared" si="0"/>
        <v>#DIV/0!</v>
      </c>
    </row>
    <row r="52" spans="1:6" x14ac:dyDescent="0.3">
      <c r="A52" s="3"/>
      <c r="B52" s="3"/>
      <c r="C52" s="4"/>
      <c r="D52" s="4"/>
      <c r="E52" s="3" t="e">
        <f t="shared" si="1"/>
        <v>#DIV/0!</v>
      </c>
      <c r="F52" s="3" t="e">
        <f t="shared" si="0"/>
        <v>#DIV/0!</v>
      </c>
    </row>
    <row r="53" spans="1:6" x14ac:dyDescent="0.3">
      <c r="A53" s="3"/>
      <c r="B53" s="3"/>
      <c r="C53" s="4"/>
      <c r="D53" s="4"/>
      <c r="E53" s="3" t="e">
        <f t="shared" si="1"/>
        <v>#DIV/0!</v>
      </c>
      <c r="F53" s="3" t="e">
        <f t="shared" si="0"/>
        <v>#DIV/0!</v>
      </c>
    </row>
    <row r="54" spans="1:6" x14ac:dyDescent="0.3">
      <c r="A54" s="3"/>
      <c r="B54" s="3"/>
      <c r="C54" s="4"/>
      <c r="D54" s="4"/>
      <c r="E54" s="3" t="e">
        <f t="shared" si="1"/>
        <v>#DIV/0!</v>
      </c>
      <c r="F54" s="3" t="e">
        <f t="shared" si="0"/>
        <v>#DIV/0!</v>
      </c>
    </row>
    <row r="55" spans="1:6" x14ac:dyDescent="0.3">
      <c r="A55" s="3"/>
      <c r="B55" s="3"/>
      <c r="C55" s="4"/>
      <c r="D55" s="4"/>
      <c r="E55" s="3" t="e">
        <f t="shared" si="1"/>
        <v>#DIV/0!</v>
      </c>
      <c r="F55" s="3" t="e">
        <f t="shared" si="0"/>
        <v>#DIV/0!</v>
      </c>
    </row>
    <row r="56" spans="1:6" x14ac:dyDescent="0.3">
      <c r="A56" s="3"/>
      <c r="B56" s="3"/>
      <c r="C56" s="4"/>
      <c r="D56" s="4"/>
      <c r="E56" s="3" t="e">
        <f t="shared" si="1"/>
        <v>#DIV/0!</v>
      </c>
      <c r="F56" s="3" t="e">
        <f t="shared" si="0"/>
        <v>#DIV/0!</v>
      </c>
    </row>
    <row r="57" spans="1:6" x14ac:dyDescent="0.3">
      <c r="A57" s="3"/>
      <c r="B57" s="3"/>
      <c r="C57" s="4"/>
      <c r="D57" s="4"/>
      <c r="E57" s="3" t="e">
        <f t="shared" si="1"/>
        <v>#DIV/0!</v>
      </c>
      <c r="F57" s="3" t="e">
        <f t="shared" si="0"/>
        <v>#DIV/0!</v>
      </c>
    </row>
    <row r="58" spans="1:6" x14ac:dyDescent="0.3">
      <c r="A58" s="3"/>
      <c r="B58" s="3"/>
      <c r="C58" s="4"/>
      <c r="D58" s="4"/>
      <c r="E58" s="3" t="e">
        <f t="shared" si="1"/>
        <v>#DIV/0!</v>
      </c>
      <c r="F58" s="3" t="e">
        <f t="shared" si="0"/>
        <v>#DIV/0!</v>
      </c>
    </row>
    <row r="59" spans="1:6" x14ac:dyDescent="0.3">
      <c r="A59" s="3"/>
      <c r="B59" s="3"/>
      <c r="C59" s="4"/>
      <c r="D59" s="4"/>
      <c r="E59" s="3" t="e">
        <f t="shared" si="1"/>
        <v>#DIV/0!</v>
      </c>
      <c r="F59" s="3" t="e">
        <f t="shared" si="0"/>
        <v>#DIV/0!</v>
      </c>
    </row>
    <row r="60" spans="1:6" x14ac:dyDescent="0.3">
      <c r="A60" s="3"/>
      <c r="B60" s="3"/>
      <c r="C60" s="4"/>
      <c r="D60" s="4"/>
      <c r="E60" s="3" t="e">
        <f t="shared" si="1"/>
        <v>#DIV/0!</v>
      </c>
      <c r="F60" s="3" t="e">
        <f t="shared" si="0"/>
        <v>#DIV/0!</v>
      </c>
    </row>
    <row r="61" spans="1:6" x14ac:dyDescent="0.3">
      <c r="A61" s="3"/>
      <c r="B61" s="3"/>
      <c r="C61" s="4"/>
      <c r="D61" s="4"/>
      <c r="E61" s="3" t="e">
        <f t="shared" si="1"/>
        <v>#DIV/0!</v>
      </c>
      <c r="F61" s="3" t="e">
        <f t="shared" si="0"/>
        <v>#DIV/0!</v>
      </c>
    </row>
    <row r="62" spans="1:6" x14ac:dyDescent="0.3">
      <c r="A62" s="3"/>
      <c r="B62" s="3"/>
      <c r="C62" s="4"/>
      <c r="D62" s="4"/>
      <c r="E62" s="3" t="e">
        <f t="shared" si="1"/>
        <v>#DIV/0!</v>
      </c>
      <c r="F62" s="3" t="e">
        <f t="shared" si="0"/>
        <v>#DIV/0!</v>
      </c>
    </row>
    <row r="63" spans="1:6" x14ac:dyDescent="0.3">
      <c r="A63" s="3"/>
      <c r="B63" s="3"/>
      <c r="C63" s="4"/>
      <c r="D63" s="4"/>
      <c r="E63" s="3" t="e">
        <f t="shared" si="1"/>
        <v>#DIV/0!</v>
      </c>
      <c r="F63" s="3" t="e">
        <f t="shared" si="0"/>
        <v>#DIV/0!</v>
      </c>
    </row>
    <row r="64" spans="1:6" x14ac:dyDescent="0.3">
      <c r="A64" s="3"/>
      <c r="B64" s="3"/>
      <c r="C64" s="4"/>
      <c r="D64" s="4"/>
      <c r="E64" s="3" t="e">
        <f t="shared" si="1"/>
        <v>#DIV/0!</v>
      </c>
      <c r="F64" s="3" t="e">
        <f t="shared" si="0"/>
        <v>#DIV/0!</v>
      </c>
    </row>
    <row r="65" spans="1:6" x14ac:dyDescent="0.3">
      <c r="A65" s="3"/>
      <c r="B65" s="3"/>
      <c r="C65" s="4"/>
      <c r="D65" s="4"/>
      <c r="E65" s="3" t="e">
        <f t="shared" si="1"/>
        <v>#DIV/0!</v>
      </c>
      <c r="F65" s="3" t="e">
        <f t="shared" si="0"/>
        <v>#DIV/0!</v>
      </c>
    </row>
    <row r="66" spans="1:6" x14ac:dyDescent="0.3">
      <c r="A66" s="3"/>
      <c r="B66" s="3"/>
      <c r="C66" s="4"/>
      <c r="D66" s="4"/>
      <c r="E66" s="3" t="e">
        <f t="shared" si="1"/>
        <v>#DIV/0!</v>
      </c>
      <c r="F66" s="3" t="e">
        <f t="shared" ref="F66:F96" si="2">D66-E66</f>
        <v>#DIV/0!</v>
      </c>
    </row>
    <row r="67" spans="1:6" x14ac:dyDescent="0.3">
      <c r="A67" s="3"/>
      <c r="B67" s="3"/>
      <c r="C67" s="4"/>
      <c r="D67" s="4"/>
      <c r="E67" s="3" t="e">
        <f t="shared" ref="E67:E96" si="3">C67/B67</f>
        <v>#DIV/0!</v>
      </c>
      <c r="F67" s="3" t="e">
        <f t="shared" si="2"/>
        <v>#DIV/0!</v>
      </c>
    </row>
    <row r="68" spans="1:6" x14ac:dyDescent="0.3">
      <c r="A68" s="3"/>
      <c r="B68" s="3"/>
      <c r="C68" s="4"/>
      <c r="D68" s="4"/>
      <c r="E68" s="3" t="e">
        <f t="shared" si="3"/>
        <v>#DIV/0!</v>
      </c>
      <c r="F68" s="3" t="e">
        <f t="shared" si="2"/>
        <v>#DIV/0!</v>
      </c>
    </row>
    <row r="69" spans="1:6" x14ac:dyDescent="0.3">
      <c r="A69" s="3"/>
      <c r="B69" s="3"/>
      <c r="C69" s="4"/>
      <c r="D69" s="4"/>
      <c r="E69" s="3" t="e">
        <f t="shared" si="3"/>
        <v>#DIV/0!</v>
      </c>
      <c r="F69" s="3" t="e">
        <f t="shared" si="2"/>
        <v>#DIV/0!</v>
      </c>
    </row>
    <row r="70" spans="1:6" x14ac:dyDescent="0.3">
      <c r="A70" s="3"/>
      <c r="B70" s="3"/>
      <c r="C70" s="4"/>
      <c r="D70" s="4"/>
      <c r="E70" s="3" t="e">
        <f t="shared" si="3"/>
        <v>#DIV/0!</v>
      </c>
      <c r="F70" s="3" t="e">
        <f t="shared" si="2"/>
        <v>#DIV/0!</v>
      </c>
    </row>
    <row r="71" spans="1:6" x14ac:dyDescent="0.3">
      <c r="A71" s="3"/>
      <c r="B71" s="3"/>
      <c r="C71" s="4"/>
      <c r="D71" s="4"/>
      <c r="E71" s="3" t="e">
        <f t="shared" si="3"/>
        <v>#DIV/0!</v>
      </c>
      <c r="F71" s="3" t="e">
        <f t="shared" si="2"/>
        <v>#DIV/0!</v>
      </c>
    </row>
    <row r="72" spans="1:6" x14ac:dyDescent="0.3">
      <c r="A72" s="3"/>
      <c r="B72" s="3"/>
      <c r="C72" s="4"/>
      <c r="D72" s="4"/>
      <c r="E72" s="3" t="e">
        <f t="shared" si="3"/>
        <v>#DIV/0!</v>
      </c>
      <c r="F72" s="3" t="e">
        <f t="shared" si="2"/>
        <v>#DIV/0!</v>
      </c>
    </row>
    <row r="73" spans="1:6" x14ac:dyDescent="0.3">
      <c r="A73" s="3"/>
      <c r="B73" s="3"/>
      <c r="C73" s="4"/>
      <c r="D73" s="4"/>
      <c r="E73" s="3" t="e">
        <f t="shared" si="3"/>
        <v>#DIV/0!</v>
      </c>
      <c r="F73" s="3" t="e">
        <f t="shared" si="2"/>
        <v>#DIV/0!</v>
      </c>
    </row>
    <row r="74" spans="1:6" x14ac:dyDescent="0.3">
      <c r="A74" s="3"/>
      <c r="B74" s="3"/>
      <c r="C74" s="4"/>
      <c r="D74" s="4"/>
      <c r="E74" s="3" t="e">
        <f t="shared" si="3"/>
        <v>#DIV/0!</v>
      </c>
      <c r="F74" s="3" t="e">
        <f t="shared" si="2"/>
        <v>#DIV/0!</v>
      </c>
    </row>
    <row r="75" spans="1:6" x14ac:dyDescent="0.3">
      <c r="A75" s="3"/>
      <c r="B75" s="3"/>
      <c r="C75" s="4"/>
      <c r="D75" s="4"/>
      <c r="E75" s="3" t="e">
        <f t="shared" si="3"/>
        <v>#DIV/0!</v>
      </c>
      <c r="F75" s="3" t="e">
        <f t="shared" si="2"/>
        <v>#DIV/0!</v>
      </c>
    </row>
    <row r="76" spans="1:6" x14ac:dyDescent="0.3">
      <c r="A76" s="3"/>
      <c r="B76" s="3"/>
      <c r="C76" s="4"/>
      <c r="D76" s="4"/>
      <c r="E76" s="3" t="e">
        <f t="shared" si="3"/>
        <v>#DIV/0!</v>
      </c>
      <c r="F76" s="3" t="e">
        <f t="shared" si="2"/>
        <v>#DIV/0!</v>
      </c>
    </row>
    <row r="77" spans="1:6" x14ac:dyDescent="0.3">
      <c r="A77" s="3"/>
      <c r="B77" s="3"/>
      <c r="C77" s="4"/>
      <c r="D77" s="4"/>
      <c r="E77" s="3" t="e">
        <f t="shared" si="3"/>
        <v>#DIV/0!</v>
      </c>
      <c r="F77" s="3" t="e">
        <f t="shared" si="2"/>
        <v>#DIV/0!</v>
      </c>
    </row>
    <row r="78" spans="1:6" x14ac:dyDescent="0.3">
      <c r="A78" s="3"/>
      <c r="B78" s="3"/>
      <c r="C78" s="4"/>
      <c r="D78" s="4"/>
      <c r="E78" s="3" t="e">
        <f t="shared" si="3"/>
        <v>#DIV/0!</v>
      </c>
      <c r="F78" s="3" t="e">
        <f t="shared" si="2"/>
        <v>#DIV/0!</v>
      </c>
    </row>
    <row r="79" spans="1:6" x14ac:dyDescent="0.3">
      <c r="A79" s="3"/>
      <c r="B79" s="3"/>
      <c r="C79" s="4"/>
      <c r="D79" s="4"/>
      <c r="E79" s="3" t="e">
        <f t="shared" si="3"/>
        <v>#DIV/0!</v>
      </c>
      <c r="F79" s="3" t="e">
        <f t="shared" si="2"/>
        <v>#DIV/0!</v>
      </c>
    </row>
    <row r="80" spans="1:6" x14ac:dyDescent="0.3">
      <c r="A80" s="3"/>
      <c r="B80" s="3"/>
      <c r="C80" s="4"/>
      <c r="D80" s="4"/>
      <c r="E80" s="3" t="e">
        <f t="shared" si="3"/>
        <v>#DIV/0!</v>
      </c>
      <c r="F80" s="3" t="e">
        <f t="shared" si="2"/>
        <v>#DIV/0!</v>
      </c>
    </row>
    <row r="81" spans="1:6" x14ac:dyDescent="0.3">
      <c r="A81" s="3"/>
      <c r="B81" s="3"/>
      <c r="C81" s="4"/>
      <c r="D81" s="4"/>
      <c r="E81" s="3" t="e">
        <f t="shared" si="3"/>
        <v>#DIV/0!</v>
      </c>
      <c r="F81" s="3" t="e">
        <f t="shared" si="2"/>
        <v>#DIV/0!</v>
      </c>
    </row>
    <row r="82" spans="1:6" x14ac:dyDescent="0.3">
      <c r="A82" s="3"/>
      <c r="B82" s="3"/>
      <c r="C82" s="4"/>
      <c r="D82" s="4"/>
      <c r="E82" s="3" t="e">
        <f t="shared" si="3"/>
        <v>#DIV/0!</v>
      </c>
      <c r="F82" s="3" t="e">
        <f t="shared" si="2"/>
        <v>#DIV/0!</v>
      </c>
    </row>
    <row r="83" spans="1:6" x14ac:dyDescent="0.3">
      <c r="A83" s="3"/>
      <c r="B83" s="3"/>
      <c r="C83" s="4"/>
      <c r="D83" s="4"/>
      <c r="E83" s="3" t="e">
        <f t="shared" si="3"/>
        <v>#DIV/0!</v>
      </c>
      <c r="F83" s="3" t="e">
        <f t="shared" si="2"/>
        <v>#DIV/0!</v>
      </c>
    </row>
    <row r="84" spans="1:6" x14ac:dyDescent="0.3">
      <c r="A84" s="3"/>
      <c r="B84" s="3"/>
      <c r="C84" s="4"/>
      <c r="D84" s="4"/>
      <c r="E84" s="3" t="e">
        <f t="shared" si="3"/>
        <v>#DIV/0!</v>
      </c>
      <c r="F84" s="3" t="e">
        <f t="shared" si="2"/>
        <v>#DIV/0!</v>
      </c>
    </row>
    <row r="85" spans="1:6" x14ac:dyDescent="0.3">
      <c r="A85" s="3"/>
      <c r="B85" s="3"/>
      <c r="C85" s="4"/>
      <c r="D85" s="4"/>
      <c r="E85" s="3" t="e">
        <f t="shared" si="3"/>
        <v>#DIV/0!</v>
      </c>
      <c r="F85" s="3" t="e">
        <f t="shared" si="2"/>
        <v>#DIV/0!</v>
      </c>
    </row>
    <row r="86" spans="1:6" x14ac:dyDescent="0.3">
      <c r="A86" s="3"/>
      <c r="B86" s="3"/>
      <c r="C86" s="4"/>
      <c r="D86" s="4"/>
      <c r="E86" s="3" t="e">
        <f t="shared" si="3"/>
        <v>#DIV/0!</v>
      </c>
      <c r="F86" s="3" t="e">
        <f t="shared" si="2"/>
        <v>#DIV/0!</v>
      </c>
    </row>
    <row r="87" spans="1:6" x14ac:dyDescent="0.3">
      <c r="A87" s="3"/>
      <c r="B87" s="3"/>
      <c r="C87" s="4"/>
      <c r="D87" s="4"/>
      <c r="E87" s="3" t="e">
        <f t="shared" si="3"/>
        <v>#DIV/0!</v>
      </c>
      <c r="F87" s="3" t="e">
        <f t="shared" si="2"/>
        <v>#DIV/0!</v>
      </c>
    </row>
    <row r="88" spans="1:6" x14ac:dyDescent="0.3">
      <c r="A88" s="3"/>
      <c r="B88" s="3"/>
      <c r="C88" s="4"/>
      <c r="D88" s="4"/>
      <c r="E88" s="3" t="e">
        <f t="shared" si="3"/>
        <v>#DIV/0!</v>
      </c>
      <c r="F88" s="3" t="e">
        <f t="shared" si="2"/>
        <v>#DIV/0!</v>
      </c>
    </row>
    <row r="89" spans="1:6" x14ac:dyDescent="0.3">
      <c r="A89" s="3"/>
      <c r="B89" s="3"/>
      <c r="C89" s="4"/>
      <c r="D89" s="4"/>
      <c r="E89" s="3" t="e">
        <f t="shared" si="3"/>
        <v>#DIV/0!</v>
      </c>
      <c r="F89" s="3" t="e">
        <f t="shared" si="2"/>
        <v>#DIV/0!</v>
      </c>
    </row>
    <row r="90" spans="1:6" x14ac:dyDescent="0.3">
      <c r="A90" s="3"/>
      <c r="B90" s="3"/>
      <c r="C90" s="4"/>
      <c r="D90" s="4"/>
      <c r="E90" s="3" t="e">
        <f t="shared" si="3"/>
        <v>#DIV/0!</v>
      </c>
      <c r="F90" s="3" t="e">
        <f t="shared" si="2"/>
        <v>#DIV/0!</v>
      </c>
    </row>
    <row r="91" spans="1:6" x14ac:dyDescent="0.3">
      <c r="A91" s="3"/>
      <c r="B91" s="3"/>
      <c r="C91" s="4"/>
      <c r="D91" s="4"/>
      <c r="E91" s="3" t="e">
        <f t="shared" si="3"/>
        <v>#DIV/0!</v>
      </c>
      <c r="F91" s="3" t="e">
        <f t="shared" si="2"/>
        <v>#DIV/0!</v>
      </c>
    </row>
    <row r="92" spans="1:6" x14ac:dyDescent="0.3">
      <c r="A92" s="3"/>
      <c r="B92" s="3"/>
      <c r="C92" s="4"/>
      <c r="D92" s="4"/>
      <c r="E92" s="3" t="e">
        <f t="shared" si="3"/>
        <v>#DIV/0!</v>
      </c>
      <c r="F92" s="3" t="e">
        <f t="shared" si="2"/>
        <v>#DIV/0!</v>
      </c>
    </row>
    <row r="93" spans="1:6" x14ac:dyDescent="0.3">
      <c r="A93" s="3"/>
      <c r="B93" s="3"/>
      <c r="C93" s="4"/>
      <c r="D93" s="4"/>
      <c r="E93" s="3" t="e">
        <f t="shared" si="3"/>
        <v>#DIV/0!</v>
      </c>
      <c r="F93" s="3" t="e">
        <f t="shared" si="2"/>
        <v>#DIV/0!</v>
      </c>
    </row>
    <row r="94" spans="1:6" x14ac:dyDescent="0.3">
      <c r="A94" s="3"/>
      <c r="B94" s="3"/>
      <c r="C94" s="4"/>
      <c r="D94" s="4"/>
      <c r="E94" s="3" t="e">
        <f t="shared" si="3"/>
        <v>#DIV/0!</v>
      </c>
      <c r="F94" s="3" t="e">
        <f t="shared" si="2"/>
        <v>#DIV/0!</v>
      </c>
    </row>
    <row r="95" spans="1:6" x14ac:dyDescent="0.3">
      <c r="A95" s="3"/>
      <c r="B95" s="3"/>
      <c r="C95" s="4"/>
      <c r="D95" s="4"/>
      <c r="E95" s="3" t="e">
        <f t="shared" si="3"/>
        <v>#DIV/0!</v>
      </c>
      <c r="F95" s="3" t="e">
        <f t="shared" si="2"/>
        <v>#DIV/0!</v>
      </c>
    </row>
    <row r="96" spans="1:6" x14ac:dyDescent="0.3">
      <c r="A96" s="3"/>
      <c r="B96" s="3"/>
      <c r="C96" s="4"/>
      <c r="D96" s="4"/>
      <c r="E96" s="3" t="e">
        <f t="shared" si="3"/>
        <v>#DIV/0!</v>
      </c>
      <c r="F96" s="3" t="e">
        <f t="shared" si="2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19BD4-FFFE-4ED1-9BE8-66048D7674C9}">
  <dimension ref="A1:H94"/>
  <sheetViews>
    <sheetView topLeftCell="A81" workbookViewId="0">
      <selection activeCell="B66" sqref="B66"/>
    </sheetView>
  </sheetViews>
  <sheetFormatPr defaultColWidth="9.109375" defaultRowHeight="14.4" x14ac:dyDescent="0.3"/>
  <cols>
    <col min="1" max="1" width="9.109375" style="6"/>
    <col min="2" max="2" width="14.88671875" style="6" customWidth="1"/>
    <col min="3" max="3" width="6" style="6" bestFit="1" customWidth="1"/>
    <col min="4" max="4" width="13.44140625" style="6" bestFit="1" customWidth="1"/>
    <col min="5" max="5" width="9.109375" style="6"/>
    <col min="6" max="6" width="21.109375" style="6" bestFit="1" customWidth="1"/>
    <col min="7" max="16384" width="9.109375" style="6"/>
  </cols>
  <sheetData>
    <row r="1" spans="1:5" x14ac:dyDescent="0.3">
      <c r="B1" s="28" t="s">
        <v>113</v>
      </c>
      <c r="C1" s="28"/>
      <c r="D1" s="28"/>
      <c r="E1" s="28"/>
    </row>
    <row r="2" spans="1:5" x14ac:dyDescent="0.3">
      <c r="B2" s="28"/>
      <c r="C2" s="28"/>
      <c r="D2" s="28"/>
      <c r="E2" s="28"/>
    </row>
    <row r="3" spans="1:5" ht="27.6" x14ac:dyDescent="0.45">
      <c r="A3" s="19" t="s">
        <v>115</v>
      </c>
      <c r="B3" s="6" t="s">
        <v>28</v>
      </c>
    </row>
    <row r="5" spans="1:5" x14ac:dyDescent="0.3">
      <c r="B5" s="33" t="s">
        <v>29</v>
      </c>
      <c r="C5" s="33"/>
      <c r="D5" s="15" t="s">
        <v>80</v>
      </c>
    </row>
    <row r="6" spans="1:5" x14ac:dyDescent="0.3">
      <c r="B6" s="7"/>
      <c r="C6" s="11" t="s">
        <v>30</v>
      </c>
      <c r="D6" s="11" t="s">
        <v>31</v>
      </c>
    </row>
    <row r="7" spans="1:5" x14ac:dyDescent="0.3">
      <c r="B7" s="7"/>
      <c r="C7" s="14" t="s">
        <v>81</v>
      </c>
      <c r="D7" s="14" t="s">
        <v>82</v>
      </c>
    </row>
    <row r="8" spans="1:5" x14ac:dyDescent="0.3">
      <c r="B8" s="10" t="s">
        <v>83</v>
      </c>
      <c r="C8" s="14" t="s">
        <v>84</v>
      </c>
      <c r="D8" s="14" t="s">
        <v>94</v>
      </c>
    </row>
    <row r="9" spans="1:5" x14ac:dyDescent="0.3">
      <c r="B9" s="9"/>
      <c r="C9" s="14" t="s">
        <v>84</v>
      </c>
      <c r="D9" s="16" t="s">
        <v>72</v>
      </c>
    </row>
    <row r="11" spans="1:5" x14ac:dyDescent="0.3">
      <c r="B11" s="33" t="s">
        <v>29</v>
      </c>
      <c r="C11" s="33"/>
      <c r="D11" s="15" t="s">
        <v>85</v>
      </c>
    </row>
    <row r="12" spans="1:5" x14ac:dyDescent="0.3">
      <c r="B12" s="7"/>
      <c r="C12" s="11" t="s">
        <v>30</v>
      </c>
      <c r="D12" s="11" t="s">
        <v>31</v>
      </c>
    </row>
    <row r="13" spans="1:5" x14ac:dyDescent="0.3">
      <c r="B13" s="7"/>
      <c r="C13" s="14" t="s">
        <v>67</v>
      </c>
      <c r="D13" s="14" t="s">
        <v>86</v>
      </c>
    </row>
    <row r="14" spans="1:5" x14ac:dyDescent="0.3">
      <c r="B14" s="9"/>
      <c r="C14" s="14" t="s">
        <v>71</v>
      </c>
      <c r="D14" s="16" t="s">
        <v>72</v>
      </c>
    </row>
    <row r="16" spans="1:5" x14ac:dyDescent="0.3">
      <c r="B16" s="33" t="s">
        <v>29</v>
      </c>
      <c r="C16" s="33"/>
      <c r="D16" s="15" t="s">
        <v>88</v>
      </c>
    </row>
    <row r="17" spans="1:7" x14ac:dyDescent="0.3">
      <c r="B17" s="7"/>
      <c r="C17" s="11" t="s">
        <v>30</v>
      </c>
      <c r="D17" s="11" t="s">
        <v>31</v>
      </c>
    </row>
    <row r="18" spans="1:7" x14ac:dyDescent="0.3">
      <c r="B18" s="7"/>
      <c r="C18" s="14" t="s">
        <v>87</v>
      </c>
      <c r="D18" s="14" t="s">
        <v>86</v>
      </c>
    </row>
    <row r="19" spans="1:7" x14ac:dyDescent="0.3">
      <c r="B19" s="9"/>
      <c r="C19" s="14" t="s">
        <v>71</v>
      </c>
      <c r="D19" s="16" t="s">
        <v>72</v>
      </c>
    </row>
    <row r="21" spans="1:7" ht="27.6" x14ac:dyDescent="0.45">
      <c r="A21" s="19" t="s">
        <v>115</v>
      </c>
      <c r="B21" s="6" t="s">
        <v>153</v>
      </c>
    </row>
    <row r="22" spans="1:7" x14ac:dyDescent="0.3">
      <c r="B22" s="6" t="s">
        <v>154</v>
      </c>
      <c r="C22" s="4">
        <v>16</v>
      </c>
      <c r="D22" s="6" t="s">
        <v>19</v>
      </c>
    </row>
    <row r="24" spans="1:7" ht="27.6" x14ac:dyDescent="0.45">
      <c r="A24" s="19" t="s">
        <v>115</v>
      </c>
      <c r="B24" s="6" t="s">
        <v>91</v>
      </c>
    </row>
    <row r="26" spans="1:7" x14ac:dyDescent="0.3">
      <c r="F26" s="10" t="s">
        <v>20</v>
      </c>
    </row>
    <row r="27" spans="1:7" x14ac:dyDescent="0.3">
      <c r="B27" s="32" t="s">
        <v>89</v>
      </c>
      <c r="C27" s="32"/>
      <c r="D27" s="32"/>
      <c r="E27" s="32"/>
      <c r="F27" s="10">
        <f>($C$22*2)*1.2</f>
        <v>38.4</v>
      </c>
    </row>
    <row r="28" spans="1:7" x14ac:dyDescent="0.3">
      <c r="B28" s="32" t="s">
        <v>90</v>
      </c>
      <c r="C28" s="32"/>
      <c r="D28" s="32"/>
      <c r="E28" s="32"/>
      <c r="F28" s="10">
        <f>($C$22*2)*1.2</f>
        <v>38.4</v>
      </c>
    </row>
    <row r="29" spans="1:7" x14ac:dyDescent="0.3">
      <c r="F29" s="6">
        <f>SUM(F27:F28)</f>
        <v>76.8</v>
      </c>
      <c r="G29" s="6" t="s">
        <v>21</v>
      </c>
    </row>
    <row r="31" spans="1:7" ht="27.6" x14ac:dyDescent="0.45">
      <c r="A31" s="19" t="s">
        <v>115</v>
      </c>
      <c r="B31" s="6" t="s">
        <v>92</v>
      </c>
    </row>
    <row r="33" spans="1:7" ht="27.6" x14ac:dyDescent="0.45">
      <c r="A33" s="19" t="s">
        <v>115</v>
      </c>
      <c r="B33" s="6" t="s">
        <v>93</v>
      </c>
    </row>
    <row r="34" spans="1:7" x14ac:dyDescent="0.3">
      <c r="C34" s="6" t="s">
        <v>95</v>
      </c>
    </row>
    <row r="35" spans="1:7" x14ac:dyDescent="0.3">
      <c r="C35" s="6" t="s">
        <v>155</v>
      </c>
    </row>
    <row r="36" spans="1:7" ht="27.6" x14ac:dyDescent="0.45">
      <c r="A36" s="19" t="s">
        <v>115</v>
      </c>
      <c r="B36" s="6" t="s">
        <v>96</v>
      </c>
    </row>
    <row r="38" spans="1:7" x14ac:dyDescent="0.3">
      <c r="F38" s="10" t="s">
        <v>20</v>
      </c>
    </row>
    <row r="39" spans="1:7" x14ac:dyDescent="0.3">
      <c r="B39" s="32" t="s">
        <v>97</v>
      </c>
      <c r="C39" s="32"/>
      <c r="D39" s="32"/>
      <c r="E39" s="32"/>
      <c r="F39" s="10">
        <f>($C$22*2)*1.2</f>
        <v>38.4</v>
      </c>
    </row>
    <row r="40" spans="1:7" x14ac:dyDescent="0.3">
      <c r="B40" s="29" t="s">
        <v>98</v>
      </c>
      <c r="C40" s="30"/>
      <c r="D40" s="30"/>
      <c r="E40" s="31"/>
      <c r="F40" s="10">
        <f>($C$22*2)*1.2</f>
        <v>38.4</v>
      </c>
    </row>
    <row r="41" spans="1:7" x14ac:dyDescent="0.3">
      <c r="B41" s="32" t="s">
        <v>99</v>
      </c>
      <c r="C41" s="32"/>
      <c r="D41" s="32"/>
      <c r="E41" s="32"/>
      <c r="F41" s="10">
        <f>($C$22*1)*1.2</f>
        <v>19.2</v>
      </c>
      <c r="G41" s="6" t="s">
        <v>21</v>
      </c>
    </row>
    <row r="42" spans="1:7" x14ac:dyDescent="0.3">
      <c r="F42" s="6">
        <f>SUM(F39:F41)</f>
        <v>96</v>
      </c>
    </row>
    <row r="44" spans="1:7" ht="27.6" x14ac:dyDescent="0.45">
      <c r="A44" s="19" t="s">
        <v>115</v>
      </c>
      <c r="B44" s="6" t="s">
        <v>100</v>
      </c>
    </row>
    <row r="46" spans="1:7" ht="27.6" x14ac:dyDescent="0.45">
      <c r="A46" s="19" t="s">
        <v>115</v>
      </c>
      <c r="B46" s="6" t="s">
        <v>101</v>
      </c>
    </row>
    <row r="47" spans="1:7" x14ac:dyDescent="0.3">
      <c r="C47" s="6" t="s">
        <v>95</v>
      </c>
    </row>
    <row r="49" spans="1:8" ht="27.6" x14ac:dyDescent="0.45">
      <c r="A49" s="19" t="s">
        <v>115</v>
      </c>
      <c r="B49" s="6" t="s">
        <v>102</v>
      </c>
    </row>
    <row r="51" spans="1:8" x14ac:dyDescent="0.3">
      <c r="F51" s="10" t="s">
        <v>20</v>
      </c>
    </row>
    <row r="52" spans="1:8" x14ac:dyDescent="0.3">
      <c r="B52" s="32" t="s">
        <v>103</v>
      </c>
      <c r="C52" s="32"/>
      <c r="D52" s="32"/>
      <c r="E52" s="32"/>
      <c r="F52" s="10">
        <f>($C$22*5)*1.2</f>
        <v>96</v>
      </c>
    </row>
    <row r="53" spans="1:8" x14ac:dyDescent="0.3">
      <c r="B53" s="29" t="s">
        <v>104</v>
      </c>
      <c r="C53" s="30"/>
      <c r="D53" s="30"/>
      <c r="E53" s="31"/>
      <c r="F53" s="10">
        <f>($C$22*2.5)*1.2</f>
        <v>48</v>
      </c>
    </row>
    <row r="54" spans="1:8" x14ac:dyDescent="0.3">
      <c r="B54" s="32" t="s">
        <v>99</v>
      </c>
      <c r="C54" s="32"/>
      <c r="D54" s="32"/>
      <c r="E54" s="32"/>
      <c r="F54" s="10">
        <f>($C$22*22.5)*1.2</f>
        <v>432</v>
      </c>
      <c r="G54" s="6" t="s">
        <v>21</v>
      </c>
    </row>
    <row r="55" spans="1:8" x14ac:dyDescent="0.3">
      <c r="F55" s="6">
        <f>SUM(F52:F54)</f>
        <v>576</v>
      </c>
      <c r="H55" s="6" t="s">
        <v>156</v>
      </c>
    </row>
    <row r="57" spans="1:8" ht="27.6" x14ac:dyDescent="0.45">
      <c r="A57" s="19" t="s">
        <v>115</v>
      </c>
      <c r="B57" s="6" t="s">
        <v>105</v>
      </c>
    </row>
    <row r="59" spans="1:8" ht="27.6" x14ac:dyDescent="0.45">
      <c r="A59" s="19" t="s">
        <v>115</v>
      </c>
      <c r="B59" s="6" t="s">
        <v>106</v>
      </c>
    </row>
    <row r="60" spans="1:8" x14ac:dyDescent="0.3">
      <c r="C60" s="6" t="s">
        <v>95</v>
      </c>
    </row>
    <row r="62" spans="1:8" ht="27.6" x14ac:dyDescent="0.45">
      <c r="A62" s="19" t="s">
        <v>115</v>
      </c>
      <c r="B62" s="6" t="s">
        <v>37</v>
      </c>
    </row>
    <row r="64" spans="1:8" ht="27.6" x14ac:dyDescent="0.45">
      <c r="A64" s="19" t="s">
        <v>115</v>
      </c>
      <c r="B64" s="6" t="s">
        <v>142</v>
      </c>
    </row>
    <row r="65" spans="1:7" x14ac:dyDescent="0.3">
      <c r="B65" s="4">
        <f>50*8</f>
        <v>400</v>
      </c>
      <c r="C65" s="6" t="s">
        <v>141</v>
      </c>
    </row>
    <row r="66" spans="1:7" ht="27.6" x14ac:dyDescent="0.45">
      <c r="A66" s="19" t="s">
        <v>115</v>
      </c>
      <c r="B66" s="6" t="s">
        <v>143</v>
      </c>
    </row>
    <row r="67" spans="1:7" x14ac:dyDescent="0.3">
      <c r="C67" s="20">
        <f>B65*2.2</f>
        <v>880.00000000000011</v>
      </c>
      <c r="D67" s="6" t="s">
        <v>144</v>
      </c>
    </row>
    <row r="68" spans="1:7" ht="27.6" x14ac:dyDescent="0.45">
      <c r="A68" s="19" t="s">
        <v>115</v>
      </c>
      <c r="B68" s="6" t="s">
        <v>107</v>
      </c>
    </row>
    <row r="70" spans="1:7" ht="27.6" x14ac:dyDescent="0.45">
      <c r="A70" s="19" t="s">
        <v>115</v>
      </c>
      <c r="B70" s="6" t="s">
        <v>111</v>
      </c>
    </row>
    <row r="72" spans="1:7" x14ac:dyDescent="0.3">
      <c r="F72" s="10" t="s">
        <v>20</v>
      </c>
    </row>
    <row r="73" spans="1:7" x14ac:dyDescent="0.3">
      <c r="B73" s="29" t="s">
        <v>22</v>
      </c>
      <c r="C73" s="30"/>
      <c r="D73" s="30"/>
      <c r="E73" s="31"/>
      <c r="F73" s="10">
        <f>($C$22*200)*0.2</f>
        <v>640</v>
      </c>
    </row>
    <row r="74" spans="1:7" x14ac:dyDescent="0.3">
      <c r="B74" s="29" t="s">
        <v>44</v>
      </c>
      <c r="C74" s="30"/>
      <c r="D74" s="30"/>
      <c r="E74" s="31"/>
      <c r="F74" s="10">
        <f>($C$22*200)*0.8</f>
        <v>2560</v>
      </c>
    </row>
    <row r="75" spans="1:7" x14ac:dyDescent="0.3">
      <c r="F75" s="6">
        <f>SUM(F73:F74)</f>
        <v>3200</v>
      </c>
      <c r="G75" s="6" t="s">
        <v>21</v>
      </c>
    </row>
    <row r="77" spans="1:7" ht="27.6" x14ac:dyDescent="0.45">
      <c r="A77" s="19" t="s">
        <v>115</v>
      </c>
      <c r="B77" s="6" t="s">
        <v>73</v>
      </c>
    </row>
    <row r="79" spans="1:7" ht="27.6" x14ac:dyDescent="0.45">
      <c r="A79" s="19" t="s">
        <v>115</v>
      </c>
      <c r="B79" s="6" t="s">
        <v>108</v>
      </c>
    </row>
    <row r="80" spans="1:7" x14ac:dyDescent="0.3">
      <c r="C80" s="12" t="s">
        <v>45</v>
      </c>
    </row>
    <row r="82" spans="1:2" ht="27.6" x14ac:dyDescent="0.45">
      <c r="A82" s="19" t="s">
        <v>115</v>
      </c>
      <c r="B82" s="6" t="s">
        <v>109</v>
      </c>
    </row>
    <row r="84" spans="1:2" ht="27.6" x14ac:dyDescent="0.45">
      <c r="A84" s="19" t="s">
        <v>115</v>
      </c>
      <c r="B84" s="6" t="s">
        <v>78</v>
      </c>
    </row>
    <row r="86" spans="1:2" ht="27.6" x14ac:dyDescent="0.45">
      <c r="A86" s="19" t="s">
        <v>115</v>
      </c>
      <c r="B86" s="6" t="s">
        <v>110</v>
      </c>
    </row>
    <row r="88" spans="1:2" ht="27.6" x14ac:dyDescent="0.45">
      <c r="A88" s="19" t="s">
        <v>115</v>
      </c>
      <c r="B88" s="6" t="s">
        <v>147</v>
      </c>
    </row>
    <row r="90" spans="1:2" ht="27.6" x14ac:dyDescent="0.45">
      <c r="A90" s="19" t="s">
        <v>115</v>
      </c>
      <c r="B90" s="6" t="s">
        <v>46</v>
      </c>
    </row>
    <row r="92" spans="1:2" ht="27.6" x14ac:dyDescent="0.45">
      <c r="A92" s="19" t="s">
        <v>115</v>
      </c>
      <c r="B92" s="6" t="s">
        <v>47</v>
      </c>
    </row>
    <row r="94" spans="1:2" ht="27.6" x14ac:dyDescent="0.45">
      <c r="A94" s="19" t="s">
        <v>115</v>
      </c>
      <c r="B94" s="6" t="s">
        <v>146</v>
      </c>
    </row>
  </sheetData>
  <mergeCells count="14">
    <mergeCell ref="B1:E2"/>
    <mergeCell ref="B73:E73"/>
    <mergeCell ref="B74:E74"/>
    <mergeCell ref="B39:E39"/>
    <mergeCell ref="B41:E41"/>
    <mergeCell ref="B40:E40"/>
    <mergeCell ref="B52:E52"/>
    <mergeCell ref="B53:E53"/>
    <mergeCell ref="B54:E54"/>
    <mergeCell ref="B27:E27"/>
    <mergeCell ref="B28:E28"/>
    <mergeCell ref="B5:C5"/>
    <mergeCell ref="B11:C11"/>
    <mergeCell ref="B16:C1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B2BE-5507-4FFB-90A1-8FF88A890D66}">
  <dimension ref="A1:I53"/>
  <sheetViews>
    <sheetView topLeftCell="A53" workbookViewId="0">
      <selection activeCell="M16" sqref="M16"/>
    </sheetView>
  </sheetViews>
  <sheetFormatPr defaultColWidth="9.109375" defaultRowHeight="14.4" x14ac:dyDescent="0.3"/>
  <cols>
    <col min="1" max="1" width="9.109375" style="17"/>
    <col min="2" max="5" width="9.109375" style="6"/>
    <col min="6" max="6" width="21.109375" style="6" bestFit="1" customWidth="1"/>
    <col min="7" max="16384" width="9.109375" style="6"/>
  </cols>
  <sheetData>
    <row r="1" spans="1:9" x14ac:dyDescent="0.3">
      <c r="B1" s="28" t="s">
        <v>112</v>
      </c>
      <c r="C1" s="28"/>
      <c r="D1" s="28"/>
      <c r="E1" s="28"/>
    </row>
    <row r="2" spans="1:9" x14ac:dyDescent="0.3">
      <c r="B2" s="28"/>
      <c r="C2" s="28"/>
      <c r="D2" s="28"/>
      <c r="E2" s="28"/>
    </row>
    <row r="4" spans="1:9" ht="24.6" x14ac:dyDescent="0.4">
      <c r="A4" s="18" t="s">
        <v>114</v>
      </c>
      <c r="B4" s="6" t="s">
        <v>145</v>
      </c>
    </row>
    <row r="5" spans="1:9" x14ac:dyDescent="0.3">
      <c r="C5" s="4">
        <v>3</v>
      </c>
      <c r="D5" s="6" t="s">
        <v>19</v>
      </c>
    </row>
    <row r="7" spans="1:9" ht="27.6" x14ac:dyDescent="0.45">
      <c r="A7" s="19" t="s">
        <v>115</v>
      </c>
      <c r="B7" s="6" t="s">
        <v>63</v>
      </c>
    </row>
    <row r="9" spans="1:9" x14ac:dyDescent="0.3">
      <c r="F9" s="10" t="s">
        <v>20</v>
      </c>
      <c r="G9" s="6" t="s">
        <v>157</v>
      </c>
      <c r="H9" s="6" t="s">
        <v>158</v>
      </c>
    </row>
    <row r="10" spans="1:9" x14ac:dyDescent="0.3">
      <c r="B10" s="34" t="s">
        <v>64</v>
      </c>
      <c r="C10" s="34"/>
      <c r="D10" s="34"/>
      <c r="E10" s="34"/>
      <c r="F10" s="10">
        <f>($C$5*2)*1.2</f>
        <v>7.1999999999999993</v>
      </c>
      <c r="G10" s="6">
        <f>2/15</f>
        <v>0.13333333333333333</v>
      </c>
      <c r="H10" s="6">
        <f>G10*21</f>
        <v>2.8</v>
      </c>
      <c r="I10" s="6">
        <f>H10*3</f>
        <v>8.3999999999999986</v>
      </c>
    </row>
    <row r="11" spans="1:9" x14ac:dyDescent="0.3">
      <c r="B11" s="32" t="s">
        <v>65</v>
      </c>
      <c r="C11" s="32"/>
      <c r="D11" s="32"/>
      <c r="E11" s="32"/>
      <c r="F11" s="10">
        <f>($C$5*2)*1.2</f>
        <v>7.1999999999999993</v>
      </c>
      <c r="G11" s="6">
        <f>2/15</f>
        <v>0.13333333333333333</v>
      </c>
      <c r="H11" s="6">
        <f>G11*21</f>
        <v>2.8</v>
      </c>
      <c r="I11" s="6">
        <f>H11*3</f>
        <v>8.3999999999999986</v>
      </c>
    </row>
    <row r="12" spans="1:9" x14ac:dyDescent="0.3">
      <c r="B12" s="32" t="s">
        <v>42</v>
      </c>
      <c r="C12" s="32"/>
      <c r="D12" s="32"/>
      <c r="E12" s="32"/>
      <c r="F12" s="10">
        <f>($C$5*1)*1.2</f>
        <v>3.5999999999999996</v>
      </c>
      <c r="G12" s="6">
        <f>1/15</f>
        <v>6.6666666666666666E-2</v>
      </c>
      <c r="H12" s="6">
        <f>G12*21</f>
        <v>1.4</v>
      </c>
      <c r="I12" s="6">
        <f>H12*3</f>
        <v>4.1999999999999993</v>
      </c>
    </row>
    <row r="13" spans="1:9" x14ac:dyDescent="0.3">
      <c r="F13" s="6">
        <f>SUM(F10:F12)</f>
        <v>18</v>
      </c>
      <c r="G13" s="6" t="s">
        <v>21</v>
      </c>
      <c r="I13" s="6">
        <f>SUM(I10:I12)</f>
        <v>20.999999999999996</v>
      </c>
    </row>
    <row r="15" spans="1:9" ht="27.6" x14ac:dyDescent="0.45">
      <c r="A15" s="19" t="s">
        <v>115</v>
      </c>
      <c r="B15" s="6" t="s">
        <v>66</v>
      </c>
      <c r="G15" s="6">
        <f>5/15</f>
        <v>0.33333333333333331</v>
      </c>
      <c r="H15" s="24">
        <f>21*G15</f>
        <v>7</v>
      </c>
      <c r="I15" s="6" t="s">
        <v>159</v>
      </c>
    </row>
    <row r="17" spans="1:6" ht="27.6" x14ac:dyDescent="0.45">
      <c r="A17" s="19" t="s">
        <v>115</v>
      </c>
      <c r="B17" s="6" t="s">
        <v>140</v>
      </c>
    </row>
    <row r="18" spans="1:6" ht="18.75" customHeight="1" x14ac:dyDescent="0.45">
      <c r="A18" s="19"/>
      <c r="C18" s="6" t="s">
        <v>160</v>
      </c>
    </row>
    <row r="19" spans="1:6" ht="27.6" x14ac:dyDescent="0.45">
      <c r="A19" s="19" t="s">
        <v>115</v>
      </c>
      <c r="B19" s="6" t="s">
        <v>137</v>
      </c>
    </row>
    <row r="20" spans="1:6" ht="17.25" customHeight="1" x14ac:dyDescent="0.45">
      <c r="A20" s="19"/>
      <c r="C20" s="6" t="s">
        <v>161</v>
      </c>
    </row>
    <row r="21" spans="1:6" ht="27.6" x14ac:dyDescent="0.45">
      <c r="A21" s="19" t="s">
        <v>115</v>
      </c>
      <c r="B21" s="6" t="s">
        <v>69</v>
      </c>
    </row>
    <row r="23" spans="1:6" ht="27.6" x14ac:dyDescent="0.45">
      <c r="A23" s="19" t="s">
        <v>115</v>
      </c>
      <c r="B23" s="6" t="s">
        <v>37</v>
      </c>
    </row>
    <row r="25" spans="1:6" ht="27.6" x14ac:dyDescent="0.45">
      <c r="A25" s="19" t="s">
        <v>115</v>
      </c>
      <c r="B25" s="6" t="s">
        <v>70</v>
      </c>
    </row>
    <row r="27" spans="1:6" ht="27.6" x14ac:dyDescent="0.45">
      <c r="A27" s="19" t="s">
        <v>115</v>
      </c>
      <c r="B27" s="6" t="s">
        <v>41</v>
      </c>
    </row>
    <row r="29" spans="1:6" ht="27.6" x14ac:dyDescent="0.45">
      <c r="A29" s="19" t="s">
        <v>115</v>
      </c>
      <c r="B29" s="6" t="s">
        <v>111</v>
      </c>
    </row>
    <row r="31" spans="1:6" x14ac:dyDescent="0.3">
      <c r="F31" s="10" t="s">
        <v>20</v>
      </c>
    </row>
    <row r="32" spans="1:6" x14ac:dyDescent="0.3">
      <c r="B32" s="32" t="s">
        <v>22</v>
      </c>
      <c r="C32" s="32"/>
      <c r="D32" s="32"/>
      <c r="E32" s="32"/>
      <c r="F32" s="10">
        <f>($C$5*200)*0.2</f>
        <v>120</v>
      </c>
    </row>
    <row r="33" spans="1:7" x14ac:dyDescent="0.3">
      <c r="B33" s="32" t="s">
        <v>44</v>
      </c>
      <c r="C33" s="32"/>
      <c r="D33" s="32"/>
      <c r="E33" s="32"/>
      <c r="F33" s="10">
        <f>($C$5*200)*0.8</f>
        <v>480</v>
      </c>
    </row>
    <row r="34" spans="1:7" x14ac:dyDescent="0.3">
      <c r="F34" s="6">
        <f>SUM(F32:F33)</f>
        <v>600</v>
      </c>
      <c r="G34" s="6" t="s">
        <v>21</v>
      </c>
    </row>
    <row r="36" spans="1:7" ht="27.6" x14ac:dyDescent="0.45">
      <c r="A36" s="19" t="s">
        <v>115</v>
      </c>
      <c r="B36" s="6" t="s">
        <v>73</v>
      </c>
    </row>
    <row r="38" spans="1:7" ht="27.6" x14ac:dyDescent="0.45">
      <c r="A38" s="19" t="s">
        <v>115</v>
      </c>
      <c r="B38" s="6" t="s">
        <v>108</v>
      </c>
    </row>
    <row r="39" spans="1:7" x14ac:dyDescent="0.3">
      <c r="C39" s="6" t="s">
        <v>45</v>
      </c>
    </row>
    <row r="41" spans="1:7" ht="27.6" x14ac:dyDescent="0.45">
      <c r="A41" s="19" t="s">
        <v>115</v>
      </c>
      <c r="B41" s="6" t="s">
        <v>109</v>
      </c>
    </row>
    <row r="43" spans="1:7" ht="27.6" x14ac:dyDescent="0.45">
      <c r="A43" s="19" t="s">
        <v>115</v>
      </c>
      <c r="B43" s="6" t="s">
        <v>77</v>
      </c>
    </row>
    <row r="45" spans="1:7" ht="27.6" x14ac:dyDescent="0.45">
      <c r="A45" s="19" t="s">
        <v>115</v>
      </c>
      <c r="B45" s="6" t="s">
        <v>110</v>
      </c>
    </row>
    <row r="47" spans="1:7" ht="27.6" x14ac:dyDescent="0.45">
      <c r="A47" s="19" t="s">
        <v>115</v>
      </c>
      <c r="B47" s="6" t="s">
        <v>148</v>
      </c>
    </row>
    <row r="49" spans="1:2" ht="27.6" x14ac:dyDescent="0.45">
      <c r="A49" s="19" t="s">
        <v>115</v>
      </c>
      <c r="B49" s="6" t="s">
        <v>46</v>
      </c>
    </row>
    <row r="51" spans="1:2" ht="27.6" x14ac:dyDescent="0.45">
      <c r="A51" s="19" t="s">
        <v>115</v>
      </c>
      <c r="B51" s="6" t="s">
        <v>47</v>
      </c>
    </row>
    <row r="53" spans="1:2" ht="27.6" x14ac:dyDescent="0.45">
      <c r="A53" s="19" t="s">
        <v>115</v>
      </c>
      <c r="B53" s="6" t="s">
        <v>149</v>
      </c>
    </row>
  </sheetData>
  <mergeCells count="6">
    <mergeCell ref="B1:E2"/>
    <mergeCell ref="B33:E33"/>
    <mergeCell ref="B10:E10"/>
    <mergeCell ref="B11:E11"/>
    <mergeCell ref="B12:E12"/>
    <mergeCell ref="B32:E3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F39A1-88FA-4010-B946-CEBF88ADED64}">
  <dimension ref="A1:I120"/>
  <sheetViews>
    <sheetView topLeftCell="A114" workbookViewId="0">
      <selection activeCell="D119" sqref="D119:E119"/>
    </sheetView>
  </sheetViews>
  <sheetFormatPr defaultColWidth="9.109375" defaultRowHeight="14.4" x14ac:dyDescent="0.3"/>
  <cols>
    <col min="1" max="1" width="9.109375" style="13"/>
    <col min="2" max="3" width="9.109375" style="6"/>
    <col min="4" max="4" width="10.5546875" style="6" customWidth="1"/>
    <col min="5" max="5" width="9.109375" style="6"/>
    <col min="6" max="6" width="21.109375" style="6" bestFit="1" customWidth="1"/>
    <col min="7" max="16384" width="9.109375" style="6"/>
  </cols>
  <sheetData>
    <row r="1" spans="1:6" x14ac:dyDescent="0.3">
      <c r="B1" s="28" t="s">
        <v>116</v>
      </c>
      <c r="C1" s="28"/>
      <c r="D1" s="28"/>
      <c r="E1" s="28"/>
    </row>
    <row r="2" spans="1:6" x14ac:dyDescent="0.3">
      <c r="B2" s="28"/>
      <c r="C2" s="28"/>
      <c r="D2" s="28"/>
      <c r="E2" s="28"/>
    </row>
    <row r="3" spans="1:6" ht="27.6" x14ac:dyDescent="0.45">
      <c r="A3" s="19" t="s">
        <v>115</v>
      </c>
      <c r="B3" s="6" t="s">
        <v>28</v>
      </c>
    </row>
    <row r="5" spans="1:6" x14ac:dyDescent="0.3">
      <c r="B5" s="33" t="s">
        <v>29</v>
      </c>
      <c r="C5" s="33"/>
      <c r="D5" s="15" t="s">
        <v>35</v>
      </c>
    </row>
    <row r="6" spans="1:6" x14ac:dyDescent="0.3">
      <c r="B6" s="7"/>
      <c r="C6" s="11" t="s">
        <v>30</v>
      </c>
      <c r="D6" s="11" t="s">
        <v>31</v>
      </c>
    </row>
    <row r="7" spans="1:6" x14ac:dyDescent="0.3">
      <c r="B7" s="7"/>
      <c r="C7" s="14" t="s">
        <v>67</v>
      </c>
      <c r="D7" s="14" t="s">
        <v>32</v>
      </c>
    </row>
    <row r="8" spans="1:6" x14ac:dyDescent="0.3">
      <c r="B8" s="7"/>
      <c r="C8" s="14" t="s">
        <v>68</v>
      </c>
      <c r="D8" s="14" t="s">
        <v>33</v>
      </c>
    </row>
    <row r="9" spans="1:6" x14ac:dyDescent="0.3">
      <c r="B9" s="9"/>
      <c r="C9" s="14" t="s">
        <v>71</v>
      </c>
      <c r="D9" s="16" t="s">
        <v>72</v>
      </c>
    </row>
    <row r="10" spans="1:6" x14ac:dyDescent="0.3">
      <c r="C10" s="8"/>
      <c r="D10" s="8"/>
    </row>
    <row r="11" spans="1:6" ht="27.6" x14ac:dyDescent="0.45">
      <c r="A11" s="19" t="s">
        <v>115</v>
      </c>
      <c r="B11" s="6" t="s">
        <v>150</v>
      </c>
    </row>
    <row r="12" spans="1:6" x14ac:dyDescent="0.3">
      <c r="C12" s="4">
        <v>3</v>
      </c>
      <c r="D12" s="6" t="s">
        <v>19</v>
      </c>
    </row>
    <row r="14" spans="1:6" ht="27.6" x14ac:dyDescent="0.45">
      <c r="A14" s="19" t="s">
        <v>115</v>
      </c>
      <c r="B14" s="6" t="s">
        <v>40</v>
      </c>
    </row>
    <row r="16" spans="1:6" x14ac:dyDescent="0.3">
      <c r="F16" s="10" t="s">
        <v>20</v>
      </c>
    </row>
    <row r="17" spans="1:7" x14ac:dyDescent="0.3">
      <c r="B17" s="29" t="s">
        <v>6</v>
      </c>
      <c r="C17" s="30"/>
      <c r="D17" s="30"/>
      <c r="E17" s="31"/>
      <c r="F17" s="10">
        <f>($C$12*3)*1.2</f>
        <v>10.799999999999999</v>
      </c>
    </row>
    <row r="18" spans="1:7" x14ac:dyDescent="0.3">
      <c r="B18" s="29" t="s">
        <v>16</v>
      </c>
      <c r="C18" s="30"/>
      <c r="D18" s="30"/>
      <c r="E18" s="31"/>
      <c r="F18" s="10">
        <f>($C$12*0.5)*1.2</f>
        <v>1.7999999999999998</v>
      </c>
    </row>
    <row r="19" spans="1:7" x14ac:dyDescent="0.3">
      <c r="B19" s="29" t="s">
        <v>17</v>
      </c>
      <c r="C19" s="30"/>
      <c r="D19" s="30"/>
      <c r="E19" s="31"/>
      <c r="F19" s="10">
        <f>(0.5*$C$12)*1.2</f>
        <v>1.7999999999999998</v>
      </c>
      <c r="G19" s="6" t="s">
        <v>162</v>
      </c>
    </row>
    <row r="20" spans="1:7" x14ac:dyDescent="0.3">
      <c r="B20" s="29" t="s">
        <v>18</v>
      </c>
      <c r="C20" s="30"/>
      <c r="D20" s="30"/>
      <c r="E20" s="31"/>
      <c r="F20" s="10">
        <f>($C$12*1.5)*1.2</f>
        <v>5.3999999999999995</v>
      </c>
    </row>
    <row r="21" spans="1:7" x14ac:dyDescent="0.3">
      <c r="F21" s="6">
        <f>SUM(F17:F20)</f>
        <v>19.799999999999997</v>
      </c>
      <c r="G21" s="6" t="s">
        <v>21</v>
      </c>
    </row>
    <row r="23" spans="1:7" ht="27.6" x14ac:dyDescent="0.45">
      <c r="A23" s="19" t="s">
        <v>115</v>
      </c>
      <c r="B23" s="6" t="s">
        <v>39</v>
      </c>
    </row>
    <row r="25" spans="1:7" ht="27.6" x14ac:dyDescent="0.45">
      <c r="A25" s="19" t="s">
        <v>115</v>
      </c>
      <c r="B25" s="6" t="s">
        <v>58</v>
      </c>
    </row>
    <row r="27" spans="1:7" ht="27.6" x14ac:dyDescent="0.45">
      <c r="A27" s="19" t="s">
        <v>115</v>
      </c>
      <c r="B27" s="6" t="s">
        <v>27</v>
      </c>
    </row>
    <row r="29" spans="1:7" x14ac:dyDescent="0.3">
      <c r="F29" s="10" t="s">
        <v>20</v>
      </c>
    </row>
    <row r="30" spans="1:7" x14ac:dyDescent="0.3">
      <c r="B30" s="29" t="s">
        <v>22</v>
      </c>
      <c r="C30" s="30"/>
      <c r="D30" s="30"/>
      <c r="E30" s="31"/>
      <c r="F30" s="10">
        <f>($C$12*9)*1.2</f>
        <v>32.4</v>
      </c>
    </row>
    <row r="31" spans="1:7" x14ac:dyDescent="0.3">
      <c r="B31" s="29" t="s">
        <v>23</v>
      </c>
      <c r="C31" s="30"/>
      <c r="D31" s="30"/>
      <c r="E31" s="31"/>
      <c r="F31" s="10">
        <f>($C$12*2)*1.2</f>
        <v>7.1999999999999993</v>
      </c>
    </row>
    <row r="32" spans="1:7" x14ac:dyDescent="0.3">
      <c r="B32" s="29" t="s">
        <v>24</v>
      </c>
      <c r="C32" s="30"/>
      <c r="D32" s="30"/>
      <c r="E32" s="31"/>
      <c r="F32" s="10">
        <f>(8*$C$12)*1.2</f>
        <v>28.799999999999997</v>
      </c>
    </row>
    <row r="33" spans="1:7" x14ac:dyDescent="0.3">
      <c r="B33" s="29" t="s">
        <v>25</v>
      </c>
      <c r="C33" s="30"/>
      <c r="D33" s="30"/>
      <c r="E33" s="31"/>
      <c r="F33" s="10">
        <f>($C$12*4)*1.2</f>
        <v>14.399999999999999</v>
      </c>
    </row>
    <row r="34" spans="1:7" x14ac:dyDescent="0.3">
      <c r="F34" s="6">
        <f>SUM(F30:F33)</f>
        <v>82.799999999999983</v>
      </c>
      <c r="G34" s="6" t="s">
        <v>21</v>
      </c>
    </row>
    <row r="36" spans="1:7" ht="27.6" x14ac:dyDescent="0.45">
      <c r="A36" s="19" t="s">
        <v>115</v>
      </c>
      <c r="B36" s="6" t="s">
        <v>26</v>
      </c>
    </row>
    <row r="38" spans="1:7" ht="27.6" x14ac:dyDescent="0.45">
      <c r="A38" s="19" t="s">
        <v>115</v>
      </c>
      <c r="B38" s="6" t="s">
        <v>52</v>
      </c>
    </row>
    <row r="40" spans="1:7" ht="27.6" x14ac:dyDescent="0.45">
      <c r="A40" s="19" t="s">
        <v>115</v>
      </c>
      <c r="B40" s="6" t="s">
        <v>36</v>
      </c>
    </row>
    <row r="42" spans="1:7" ht="27.6" x14ac:dyDescent="0.45">
      <c r="A42" s="19" t="s">
        <v>115</v>
      </c>
      <c r="B42" s="6" t="s">
        <v>37</v>
      </c>
    </row>
    <row r="44" spans="1:7" ht="27.6" x14ac:dyDescent="0.45">
      <c r="A44" s="19" t="s">
        <v>115</v>
      </c>
      <c r="B44" s="6" t="s">
        <v>38</v>
      </c>
    </row>
    <row r="46" spans="1:7" ht="27.6" x14ac:dyDescent="0.45">
      <c r="A46" s="19" t="s">
        <v>115</v>
      </c>
      <c r="B46" s="6" t="s">
        <v>41</v>
      </c>
    </row>
    <row r="48" spans="1:7" ht="27.6" x14ac:dyDescent="0.45">
      <c r="A48" s="19" t="s">
        <v>115</v>
      </c>
      <c r="B48" s="6" t="s">
        <v>111</v>
      </c>
    </row>
    <row r="50" spans="1:7" x14ac:dyDescent="0.3">
      <c r="F50" s="10" t="s">
        <v>20</v>
      </c>
    </row>
    <row r="51" spans="1:7" x14ac:dyDescent="0.3">
      <c r="B51" s="29" t="s">
        <v>22</v>
      </c>
      <c r="C51" s="30"/>
      <c r="D51" s="30"/>
      <c r="E51" s="31"/>
      <c r="F51" s="10">
        <f>($C$12*200)*0.2</f>
        <v>120</v>
      </c>
    </row>
    <row r="52" spans="1:7" x14ac:dyDescent="0.3">
      <c r="B52" s="29" t="s">
        <v>44</v>
      </c>
      <c r="C52" s="30"/>
      <c r="D52" s="30"/>
      <c r="E52" s="31"/>
      <c r="F52" s="10">
        <f>($C$12*200)*0.8</f>
        <v>480</v>
      </c>
    </row>
    <row r="53" spans="1:7" x14ac:dyDescent="0.3">
      <c r="F53" s="6">
        <f>SUM(F51:F52)</f>
        <v>600</v>
      </c>
      <c r="G53" s="6" t="s">
        <v>21</v>
      </c>
    </row>
    <row r="55" spans="1:7" ht="27.6" x14ac:dyDescent="0.45">
      <c r="A55" s="19" t="s">
        <v>115</v>
      </c>
      <c r="B55" s="6" t="s">
        <v>73</v>
      </c>
    </row>
    <row r="57" spans="1:7" ht="27.6" x14ac:dyDescent="0.45">
      <c r="A57" s="19" t="s">
        <v>115</v>
      </c>
      <c r="B57" s="6" t="s">
        <v>108</v>
      </c>
    </row>
    <row r="58" spans="1:7" x14ac:dyDescent="0.3">
      <c r="C58" s="12" t="s">
        <v>45</v>
      </c>
    </row>
    <row r="60" spans="1:7" ht="27.6" x14ac:dyDescent="0.45">
      <c r="A60" s="19" t="s">
        <v>115</v>
      </c>
      <c r="B60" s="6" t="s">
        <v>109</v>
      </c>
    </row>
    <row r="62" spans="1:7" ht="27.6" x14ac:dyDescent="0.45">
      <c r="A62" s="19" t="s">
        <v>115</v>
      </c>
      <c r="B62" s="6" t="s">
        <v>78</v>
      </c>
    </row>
    <row r="64" spans="1:7" ht="27.6" x14ac:dyDescent="0.45">
      <c r="A64" s="19" t="s">
        <v>115</v>
      </c>
      <c r="B64" s="6" t="s">
        <v>110</v>
      </c>
    </row>
    <row r="66" spans="1:6" ht="27.6" x14ac:dyDescent="0.45">
      <c r="A66" s="19" t="s">
        <v>115</v>
      </c>
      <c r="B66" s="6" t="s">
        <v>74</v>
      </c>
    </row>
    <row r="68" spans="1:6" ht="27.6" x14ac:dyDescent="0.45">
      <c r="A68" s="19" t="s">
        <v>115</v>
      </c>
      <c r="B68" s="6" t="s">
        <v>46</v>
      </c>
    </row>
    <row r="70" spans="1:6" ht="27.6" x14ac:dyDescent="0.45">
      <c r="A70" s="19" t="s">
        <v>115</v>
      </c>
      <c r="B70" s="6" t="s">
        <v>47</v>
      </c>
    </row>
    <row r="72" spans="1:6" ht="27.6" x14ac:dyDescent="0.45">
      <c r="A72" s="19" t="s">
        <v>115</v>
      </c>
      <c r="B72" s="6" t="s">
        <v>75</v>
      </c>
    </row>
    <row r="73" spans="1:6" ht="17.25" customHeight="1" x14ac:dyDescent="0.45">
      <c r="A73" s="19"/>
    </row>
    <row r="74" spans="1:6" ht="24" customHeight="1" x14ac:dyDescent="0.3">
      <c r="A74" s="13" t="s">
        <v>152</v>
      </c>
      <c r="B74" s="6" t="s">
        <v>151</v>
      </c>
    </row>
    <row r="76" spans="1:6" ht="27.6" x14ac:dyDescent="0.45">
      <c r="A76" s="19" t="s">
        <v>115</v>
      </c>
      <c r="B76" s="6" t="s">
        <v>48</v>
      </c>
    </row>
    <row r="78" spans="1:6" ht="27.6" x14ac:dyDescent="0.45">
      <c r="A78" s="19"/>
      <c r="F78" s="10" t="s">
        <v>20</v>
      </c>
    </row>
    <row r="79" spans="1:6" x14ac:dyDescent="0.3">
      <c r="B79" s="29" t="s">
        <v>6</v>
      </c>
      <c r="C79" s="30"/>
      <c r="D79" s="30"/>
      <c r="E79" s="31"/>
      <c r="F79" s="10">
        <f>($C$12*8)*1.2</f>
        <v>28.799999999999997</v>
      </c>
    </row>
    <row r="80" spans="1:6" x14ac:dyDescent="0.3">
      <c r="B80" s="29" t="s">
        <v>49</v>
      </c>
      <c r="C80" s="30"/>
      <c r="D80" s="30"/>
      <c r="E80" s="31"/>
      <c r="F80" s="10">
        <f>($C$12*6)*1.2</f>
        <v>21.599999999999998</v>
      </c>
    </row>
    <row r="81" spans="1:9" x14ac:dyDescent="0.3">
      <c r="B81" s="29" t="s">
        <v>22</v>
      </c>
      <c r="C81" s="30"/>
      <c r="D81" s="30"/>
      <c r="E81" s="31"/>
      <c r="F81" s="10">
        <f>(3*$C$12)*1.2</f>
        <v>10.799999999999999</v>
      </c>
    </row>
    <row r="82" spans="1:9" x14ac:dyDescent="0.3">
      <c r="B82" s="29" t="s">
        <v>18</v>
      </c>
      <c r="C82" s="30"/>
      <c r="D82" s="30"/>
      <c r="E82" s="31"/>
      <c r="F82" s="10">
        <f>($C$12*3)*1.2</f>
        <v>10.799999999999999</v>
      </c>
    </row>
    <row r="83" spans="1:9" x14ac:dyDescent="0.3">
      <c r="F83" s="6">
        <f>SUM(F79:F82)</f>
        <v>71.999999999999986</v>
      </c>
      <c r="G83" s="6" t="s">
        <v>21</v>
      </c>
    </row>
    <row r="85" spans="1:9" ht="27.6" x14ac:dyDescent="0.45">
      <c r="A85" s="19" t="s">
        <v>115</v>
      </c>
      <c r="B85" s="6" t="s">
        <v>50</v>
      </c>
    </row>
    <row r="87" spans="1:9" ht="27.6" x14ac:dyDescent="0.45">
      <c r="A87" s="19" t="s">
        <v>115</v>
      </c>
      <c r="B87" s="6" t="s">
        <v>51</v>
      </c>
    </row>
    <row r="89" spans="1:9" ht="27.6" x14ac:dyDescent="0.45">
      <c r="A89" s="19" t="s">
        <v>115</v>
      </c>
      <c r="B89" s="6" t="s">
        <v>37</v>
      </c>
    </row>
    <row r="91" spans="1:9" ht="27.6" x14ac:dyDescent="0.45">
      <c r="A91" s="19" t="s">
        <v>115</v>
      </c>
      <c r="B91" s="6" t="s">
        <v>53</v>
      </c>
    </row>
    <row r="93" spans="1:9" ht="27.6" x14ac:dyDescent="0.45">
      <c r="A93" s="19" t="s">
        <v>115</v>
      </c>
      <c r="B93" s="6" t="s">
        <v>54</v>
      </c>
    </row>
    <row r="95" spans="1:9" ht="27.6" x14ac:dyDescent="0.45">
      <c r="A95" s="19" t="s">
        <v>115</v>
      </c>
      <c r="B95" s="6" t="s">
        <v>73</v>
      </c>
    </row>
    <row r="96" spans="1:9" x14ac:dyDescent="0.3">
      <c r="I96" s="6" t="s">
        <v>163</v>
      </c>
    </row>
    <row r="97" spans="1:2" ht="27.6" x14ac:dyDescent="0.45">
      <c r="A97" s="19" t="s">
        <v>115</v>
      </c>
      <c r="B97" s="6" t="s">
        <v>76</v>
      </c>
    </row>
    <row r="99" spans="1:2" ht="27.6" x14ac:dyDescent="0.45">
      <c r="A99" s="19" t="s">
        <v>115</v>
      </c>
      <c r="B99" s="6" t="s">
        <v>55</v>
      </c>
    </row>
    <row r="101" spans="1:2" ht="27.6" x14ac:dyDescent="0.45">
      <c r="A101" s="19" t="s">
        <v>115</v>
      </c>
      <c r="B101" s="24" t="s">
        <v>79</v>
      </c>
    </row>
    <row r="103" spans="1:2" ht="27.6" x14ac:dyDescent="0.45">
      <c r="A103" s="19" t="s">
        <v>115</v>
      </c>
      <c r="B103" s="6" t="s">
        <v>56</v>
      </c>
    </row>
    <row r="105" spans="1:2" ht="27.6" x14ac:dyDescent="0.45">
      <c r="A105" s="19" t="s">
        <v>115</v>
      </c>
      <c r="B105" s="6" t="s">
        <v>57</v>
      </c>
    </row>
    <row r="107" spans="1:2" ht="27.6" x14ac:dyDescent="0.45">
      <c r="A107" s="19" t="s">
        <v>115</v>
      </c>
      <c r="B107" s="6" t="s">
        <v>58</v>
      </c>
    </row>
    <row r="109" spans="1:2" ht="27.6" x14ac:dyDescent="0.45">
      <c r="A109" s="19" t="s">
        <v>115</v>
      </c>
      <c r="B109" s="6" t="s">
        <v>59</v>
      </c>
    </row>
    <row r="111" spans="1:2" ht="27.6" x14ac:dyDescent="0.45">
      <c r="A111" s="19" t="s">
        <v>115</v>
      </c>
      <c r="B111" s="6" t="s">
        <v>60</v>
      </c>
    </row>
    <row r="113" spans="1:5" ht="27.6" x14ac:dyDescent="0.45">
      <c r="A113" s="19" t="s">
        <v>115</v>
      </c>
      <c r="B113" s="6" t="s">
        <v>61</v>
      </c>
    </row>
    <row r="115" spans="1:5" x14ac:dyDescent="0.3">
      <c r="B115" s="32" t="s">
        <v>10</v>
      </c>
      <c r="C115" s="32"/>
      <c r="D115" s="29" t="s">
        <v>11</v>
      </c>
      <c r="E115" s="31"/>
    </row>
    <row r="116" spans="1:5" x14ac:dyDescent="0.3">
      <c r="B116" s="33">
        <v>1</v>
      </c>
      <c r="C116" s="33"/>
      <c r="D116" s="35">
        <v>1.19</v>
      </c>
      <c r="E116" s="36"/>
    </row>
    <row r="117" spans="1:5" x14ac:dyDescent="0.3">
      <c r="B117" s="33" t="s">
        <v>164</v>
      </c>
      <c r="C117" s="33"/>
      <c r="D117" s="35">
        <v>2.1</v>
      </c>
      <c r="E117" s="36"/>
    </row>
    <row r="118" spans="1:5" x14ac:dyDescent="0.3">
      <c r="B118" s="33" t="s">
        <v>165</v>
      </c>
      <c r="C118" s="33"/>
      <c r="D118" s="35">
        <v>2.56</v>
      </c>
      <c r="E118" s="36"/>
    </row>
    <row r="119" spans="1:5" x14ac:dyDescent="0.3">
      <c r="B119" s="33"/>
      <c r="C119" s="33"/>
      <c r="D119" s="35"/>
      <c r="E119" s="36"/>
    </row>
    <row r="120" spans="1:5" x14ac:dyDescent="0.3">
      <c r="B120" s="33"/>
      <c r="C120" s="33"/>
      <c r="D120" s="35"/>
      <c r="E120" s="36"/>
    </row>
  </sheetData>
  <mergeCells count="28">
    <mergeCell ref="B1:E2"/>
    <mergeCell ref="B117:C117"/>
    <mergeCell ref="B118:C118"/>
    <mergeCell ref="B119:C119"/>
    <mergeCell ref="B120:C120"/>
    <mergeCell ref="B116:C116"/>
    <mergeCell ref="D120:E120"/>
    <mergeCell ref="D119:E119"/>
    <mergeCell ref="D118:E118"/>
    <mergeCell ref="D117:E117"/>
    <mergeCell ref="D116:E116"/>
    <mergeCell ref="D115:E115"/>
    <mergeCell ref="B115:C115"/>
    <mergeCell ref="B51:E51"/>
    <mergeCell ref="B52:E52"/>
    <mergeCell ref="B79:E79"/>
    <mergeCell ref="B80:E80"/>
    <mergeCell ref="B81:E81"/>
    <mergeCell ref="B82:E82"/>
    <mergeCell ref="B33:E33"/>
    <mergeCell ref="B5:C5"/>
    <mergeCell ref="B20:E20"/>
    <mergeCell ref="B30:E30"/>
    <mergeCell ref="B31:E31"/>
    <mergeCell ref="B32:E32"/>
    <mergeCell ref="B19:E19"/>
    <mergeCell ref="B18:E18"/>
    <mergeCell ref="B17:E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BB04F-3DD5-4473-9376-C9171AD31BB5}">
  <dimension ref="A1:J42"/>
  <sheetViews>
    <sheetView tabSelected="1" topLeftCell="A21" zoomScale="90" zoomScaleNormal="90" workbookViewId="0">
      <selection activeCell="F26" sqref="F26"/>
    </sheetView>
  </sheetViews>
  <sheetFormatPr defaultColWidth="9.109375" defaultRowHeight="14.4" x14ac:dyDescent="0.3"/>
  <cols>
    <col min="1" max="16384" width="9.109375" style="6"/>
  </cols>
  <sheetData>
    <row r="1" spans="1:5" x14ac:dyDescent="0.3">
      <c r="B1" s="28" t="s">
        <v>117</v>
      </c>
      <c r="C1" s="28"/>
      <c r="D1" s="28"/>
      <c r="E1" s="28"/>
    </row>
    <row r="2" spans="1:5" x14ac:dyDescent="0.3">
      <c r="B2" s="28"/>
      <c r="C2" s="28"/>
      <c r="D2" s="28"/>
      <c r="E2" s="28"/>
    </row>
    <row r="4" spans="1:5" ht="27.6" x14ac:dyDescent="0.45">
      <c r="A4" s="19" t="s">
        <v>115</v>
      </c>
      <c r="B4" s="6" t="s">
        <v>118</v>
      </c>
    </row>
    <row r="6" spans="1:5" ht="27.6" x14ac:dyDescent="0.45">
      <c r="A6" s="19" t="s">
        <v>115</v>
      </c>
      <c r="B6" s="6" t="s">
        <v>123</v>
      </c>
    </row>
    <row r="8" spans="1:5" ht="27.6" x14ac:dyDescent="0.45">
      <c r="A8" s="19" t="s">
        <v>115</v>
      </c>
      <c r="B8" s="6" t="s">
        <v>119</v>
      </c>
    </row>
    <row r="10" spans="1:5" ht="27.6" x14ac:dyDescent="0.45">
      <c r="A10" s="19" t="s">
        <v>115</v>
      </c>
      <c r="B10" s="6" t="s">
        <v>120</v>
      </c>
    </row>
    <row r="12" spans="1:5" ht="27.6" x14ac:dyDescent="0.45">
      <c r="A12" s="19" t="s">
        <v>115</v>
      </c>
      <c r="B12" s="6" t="s">
        <v>121</v>
      </c>
    </row>
    <row r="14" spans="1:5" ht="27.6" x14ac:dyDescent="0.45">
      <c r="A14" s="19" t="s">
        <v>115</v>
      </c>
      <c r="B14" s="6" t="s">
        <v>125</v>
      </c>
    </row>
    <row r="16" spans="1:5" ht="27.6" x14ac:dyDescent="0.45">
      <c r="A16" s="19" t="s">
        <v>115</v>
      </c>
      <c r="B16" s="6" t="s">
        <v>122</v>
      </c>
    </row>
    <row r="18" spans="1:10" ht="27.6" x14ac:dyDescent="0.45">
      <c r="A18" s="19" t="s">
        <v>115</v>
      </c>
      <c r="B18" s="6" t="s">
        <v>124</v>
      </c>
    </row>
    <row r="19" spans="1:10" x14ac:dyDescent="0.3">
      <c r="C19" s="6" t="s">
        <v>126</v>
      </c>
    </row>
    <row r="21" spans="1:10" ht="27.6" x14ac:dyDescent="0.45">
      <c r="A21" s="19" t="s">
        <v>115</v>
      </c>
      <c r="B21" s="6" t="s">
        <v>127</v>
      </c>
    </row>
    <row r="23" spans="1:10" ht="27.6" x14ac:dyDescent="0.45">
      <c r="A23" s="19" t="s">
        <v>115</v>
      </c>
      <c r="B23" s="6" t="s">
        <v>128</v>
      </c>
      <c r="I23" s="6">
        <f>17.5/20</f>
        <v>0.875</v>
      </c>
      <c r="J23" s="6" t="s">
        <v>166</v>
      </c>
    </row>
    <row r="24" spans="1:10" x14ac:dyDescent="0.3">
      <c r="I24" s="6">
        <f>30*I23</f>
        <v>26.25</v>
      </c>
      <c r="J24" s="6" t="s">
        <v>167</v>
      </c>
    </row>
    <row r="25" spans="1:10" ht="27.6" x14ac:dyDescent="0.45">
      <c r="A25" s="19" t="s">
        <v>115</v>
      </c>
      <c r="B25" s="6" t="s">
        <v>129</v>
      </c>
      <c r="F25" s="6" t="s">
        <v>169</v>
      </c>
      <c r="I25" s="6">
        <f>30+I24</f>
        <v>56.25</v>
      </c>
      <c r="J25" s="6" t="s">
        <v>168</v>
      </c>
    </row>
    <row r="27" spans="1:10" ht="27.6" x14ac:dyDescent="0.45">
      <c r="A27" s="19" t="s">
        <v>115</v>
      </c>
      <c r="B27" s="6" t="s">
        <v>130</v>
      </c>
    </row>
    <row r="29" spans="1:10" ht="27.6" x14ac:dyDescent="0.45">
      <c r="A29" s="19" t="s">
        <v>115</v>
      </c>
      <c r="B29" s="6" t="s">
        <v>131</v>
      </c>
    </row>
    <row r="30" spans="1:10" x14ac:dyDescent="0.3">
      <c r="C30" s="6" t="s">
        <v>126</v>
      </c>
    </row>
    <row r="32" spans="1:10" ht="27.6" x14ac:dyDescent="0.45">
      <c r="A32" s="19" t="s">
        <v>115</v>
      </c>
      <c r="B32" s="6" t="s">
        <v>132</v>
      </c>
    </row>
    <row r="34" spans="1:2" ht="27.6" x14ac:dyDescent="0.45">
      <c r="A34" s="19" t="s">
        <v>115</v>
      </c>
      <c r="B34" s="6" t="s">
        <v>133</v>
      </c>
    </row>
    <row r="36" spans="1:2" ht="27.6" x14ac:dyDescent="0.45">
      <c r="A36" s="19" t="s">
        <v>115</v>
      </c>
      <c r="B36" s="6" t="s">
        <v>134</v>
      </c>
    </row>
    <row r="38" spans="1:2" ht="27.6" x14ac:dyDescent="0.45">
      <c r="A38" s="19" t="s">
        <v>115</v>
      </c>
      <c r="B38" s="6" t="s">
        <v>135</v>
      </c>
    </row>
    <row r="40" spans="1:2" ht="27.6" x14ac:dyDescent="0.45">
      <c r="A40" s="19" t="s">
        <v>115</v>
      </c>
      <c r="B40" s="6" t="s">
        <v>136</v>
      </c>
    </row>
    <row r="42" spans="1:2" ht="27.6" x14ac:dyDescent="0.45">
      <c r="A42" s="19"/>
    </row>
  </sheetData>
  <mergeCells count="1">
    <mergeCell ref="B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 and hacks</vt:lpstr>
      <vt:lpstr>Third party reagents you need</vt:lpstr>
      <vt:lpstr>Normalization</vt:lpstr>
      <vt:lpstr>Step 1</vt:lpstr>
      <vt:lpstr>Step 2</vt:lpstr>
      <vt:lpstr>Step 3</vt:lpstr>
      <vt:lpstr>Step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Mamaghani, Tiana</dc:creator>
  <cp:lastModifiedBy>Shivakumar, Sujata</cp:lastModifiedBy>
  <dcterms:created xsi:type="dcterms:W3CDTF">2023-09-11T19:45:14Z</dcterms:created>
  <dcterms:modified xsi:type="dcterms:W3CDTF">2023-11-17T16:55:45Z</dcterms:modified>
</cp:coreProperties>
</file>
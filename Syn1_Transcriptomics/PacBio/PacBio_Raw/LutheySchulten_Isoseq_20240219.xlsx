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Volumes/storage4/RESULTS_Pacbio/149.Luthey-Schulten_Ling/1_A01_Luthey-Schulten_Isoseq/"/>
    </mc:Choice>
  </mc:AlternateContent>
  <xr:revisionPtr revIDLastSave="0" documentId="13_ncr:1_{1EFAC795-950F-F24C-9C08-9CD0D42EE882}" xr6:coauthVersionLast="47" xr6:coauthVersionMax="47" xr10:uidLastSave="{00000000-0000-0000-0000-000000000000}"/>
  <bookViews>
    <workbookView xWindow="10920" yWindow="720" windowWidth="33880" windowHeight="19980" xr2:uid="{00000000-000D-0000-FFFF-FFFF00000000}"/>
  </bookViews>
  <sheets>
    <sheet name="Oxford Nanopore" sheetId="1" r:id="rId1"/>
    <sheet name="Chart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2" i="2" l="1"/>
  <c r="D11" i="2"/>
  <c r="D10" i="2"/>
  <c r="D9" i="2"/>
  <c r="D8" i="2"/>
  <c r="D7" i="2"/>
  <c r="D6" i="2"/>
  <c r="D5" i="2"/>
  <c r="D4" i="2"/>
  <c r="D3" i="2"/>
  <c r="D2" i="2"/>
  <c r="D1" i="2"/>
</calcChain>
</file>

<file path=xl/sharedStrings.xml><?xml version="1.0" encoding="utf-8"?>
<sst xmlns="http://schemas.openxmlformats.org/spreadsheetml/2006/main" count="65" uniqueCount="58">
  <si>
    <t>University of Illinois, Roy J. Carver Biotechnology Center, DNA Services Laboratory</t>
  </si>
  <si>
    <t>Total number of bases (bp)</t>
  </si>
  <si>
    <t>Total number of reads</t>
  </si>
  <si>
    <t>Max read length (bp)</t>
  </si>
  <si>
    <t>Min read length (bp)</t>
  </si>
  <si>
    <t>Mean read length (bp)</t>
  </si>
  <si>
    <t xml:space="preserve">
</t>
  </si>
  <si>
    <t>0-999</t>
  </si>
  <si>
    <t>1000-3999</t>
  </si>
  <si>
    <t>6000-7999</t>
  </si>
  <si>
    <t>10000-14999</t>
  </si>
  <si>
    <t>20000-29999</t>
  </si>
  <si>
    <t>40000-79999</t>
  </si>
  <si>
    <t>108000-2000000</t>
  </si>
  <si>
    <t>CCS</t>
  </si>
  <si>
    <t xml:space="preserve">Files  Posted
</t>
  </si>
  <si>
    <t>Contents</t>
  </si>
  <si>
    <t>1. Library Preparation and  Sequencing</t>
  </si>
  <si>
    <t>The libraries were pooled in equimolar concentration and the pool was sequenced on 1 SMRTcell 8M on a PacBio Sequel IIe using the CCS sequencing mode and a 30hs movie time.</t>
  </si>
  <si>
    <r>
      <rPr>
        <b/>
        <sz val="14"/>
        <color theme="1"/>
        <rFont val="Calibri"/>
        <family val="2"/>
        <scheme val="minor"/>
      </rPr>
      <t>Classify</t>
    </r>
    <r>
      <rPr>
        <sz val="14"/>
        <color theme="1"/>
        <rFont val="Calibri"/>
        <family val="2"/>
        <scheme val="minor"/>
      </rPr>
      <t xml:space="preserve">: Identify and remove primers (which includes cDNA primers and optionally barcodes). Identify strandedness based on the 5’ and 3’ primers. </t>
    </r>
  </si>
  <si>
    <r>
      <rPr>
        <b/>
        <sz val="14"/>
        <color theme="1"/>
        <rFont val="Calibri"/>
        <family val="2"/>
        <scheme val="minor"/>
      </rPr>
      <t>Cluster</t>
    </r>
    <r>
      <rPr>
        <sz val="14"/>
        <color theme="1"/>
        <rFont val="Calibri"/>
        <family val="2"/>
        <scheme val="minor"/>
      </rPr>
      <t xml:space="preserve">: Trim off polyA tails and remove artificial concate- mers. Perform de novo clustering and consensus calling. Output full- length consensus isoforms that are further separated into high-quality (HQ) and low-quality (LQ) based on estimated accuracies. </t>
    </r>
  </si>
  <si>
    <t xml:space="preserve">Download Instructions
</t>
  </si>
  <si>
    <t xml:space="preserve">Your will receive an email from= sequencingposting@biotech.illinois.edu
</t>
  </si>
  <si>
    <t xml:space="preserve">This email contains links to download your files, the size of the files and the md5sums so that you can check the integrity of the files once they are downloaded.
</t>
  </si>
  <si>
    <t xml:space="preserve">1) Command line: 
</t>
  </si>
  <si>
    <t xml:space="preserve">copy either the entire curl command, including the quotation marks, and paste them on a command line. Downloading to a linux server is recommended. Files could be downloaded through a mac terminal or windows command line if there is sufficient space in the hard drive, or if downloading to an external hard drive.
</t>
  </si>
  <si>
    <t xml:space="preserve">2) Browser: 
</t>
  </si>
  <si>
    <t xml:space="preserve">First make sure there is sufficient space in your hard drive. To save the file to an external hard drive, first go to your browser's Preferences and set the Downloads location to your hard drive. Then click on the link below.
</t>
  </si>
  <si>
    <t xml:space="preserve">Once the files are downloaded, you can confirm proper download by running  md5sum myfile.tar.bz2  and compare the output to the pattern provided in the email.
</t>
  </si>
  <si>
    <t xml:space="preserve">For questions about file postings, please send an email to aghernan@illinois.edu or clwright@illinois.edu
</t>
  </si>
  <si>
    <t>HiFi demultiplexed reads at 99.9% accuracy  in fastq format</t>
  </si>
  <si>
    <t xml:space="preserve">cDNAs were barcoded with the Barcoded Overhang Adaptor Kit 8A, and converted into a library with the SMRTBell Prep kit 3.0 (Pacific Biosciences) </t>
  </si>
  <si>
    <t>2. IsoSeq Analysis using the SMRTLink V11.1</t>
  </si>
  <si>
    <t>Luthey-Schulten</t>
  </si>
  <si>
    <t>1_A01</t>
  </si>
  <si>
    <t>Date Report Generated</t>
  </si>
  <si>
    <t>PI</t>
  </si>
  <si>
    <t>Type of run</t>
  </si>
  <si>
    <t>Run #</t>
  </si>
  <si>
    <t>SMRT cell position</t>
  </si>
  <si>
    <t>Run Metrics</t>
  </si>
  <si>
    <t>Fastq file name</t>
  </si>
  <si>
    <t>2-m64108e_240214_212833.bc1009--bc1009.hifi_reads.fastq.gz</t>
  </si>
  <si>
    <t>3-m64108e_240214_212833.bc1010--bc1010.hifi_reads.fastq.gz</t>
  </si>
  <si>
    <t>4-m64108e_240214_212833.bc1011--bc1011.hifi_reads.fastq.gz</t>
  </si>
  <si>
    <t>4-hq_transcripts.fasta</t>
  </si>
  <si>
    <t>3-hq_transcripts.fasta</t>
  </si>
  <si>
    <t>2-hq_transcripts.fasta</t>
  </si>
  <si>
    <t>LutheySchulten_m64108e_240214_212833.hifi_reads.fastq.gz</t>
  </si>
  <si>
    <t>hq_transcripts.zip</t>
  </si>
  <si>
    <t>Demultiplexed_hifi_reads.zip</t>
  </si>
  <si>
    <t>LutheySchulten_m64108e_240214_212833.hifi_reads.bam</t>
  </si>
  <si>
    <t>Clustered Transcript file name</t>
  </si>
  <si>
    <t>Clustered IsoSeq transcripts at 99.9% accuracy in fasta format</t>
  </si>
  <si>
    <t>Number of clustered transcripts</t>
  </si>
  <si>
    <t xml:space="preserve">20ng of ribodepleted and poly-A tailed RNA were converted to cDNA with the Iso-Seq Express Oligo Kit. </t>
  </si>
  <si>
    <t>HiFi non-demultiplexed reads at 99.9% accuracy in fastq format</t>
  </si>
  <si>
    <t>HiFi non-demultiplexed reads at 99.9% accuracy in BAM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</si>
</sst>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Calibri"/>
      <family val="2"/>
      <scheme val="minor"/>
    </font>
    <font>
      <sz val="10"/>
      <color rgb="FF000000"/>
      <name val="Monaco"/>
      <family val="2"/>
    </font>
    <font>
      <sz val="14"/>
      <color rgb="FF000000"/>
      <name val="Arial"/>
      <family val="2"/>
    </font>
    <font>
      <sz val="14"/>
      <color theme="1"/>
      <name val="Arial"/>
      <family val="2"/>
    </font>
    <font>
      <b/>
      <sz val="18"/>
      <color rgb="FF0432FF"/>
      <name val="Calibri"/>
      <family val="2"/>
      <scheme val="minor"/>
    </font>
    <font>
      <sz val="14"/>
      <color theme="1"/>
      <name val="Calibri"/>
      <family val="2"/>
      <scheme val="minor"/>
    </font>
    <font>
      <b/>
      <sz val="16"/>
      <color rgb="FF0432FF"/>
      <name val="Arial"/>
      <family val="2"/>
    </font>
    <font>
      <b/>
      <sz val="14"/>
      <color rgb="FF0432FF"/>
      <name val="Arial"/>
      <family val="2"/>
    </font>
    <font>
      <sz val="12"/>
      <color theme="1"/>
      <name val="Arial"/>
      <family val="2"/>
    </font>
    <font>
      <b/>
      <sz val="18"/>
      <color rgb="FF0432FF"/>
      <name val="Arial"/>
      <family val="2"/>
    </font>
    <font>
      <sz val="12"/>
      <color theme="1"/>
      <name val="Calibri"/>
      <family val="2"/>
      <scheme val="minor"/>
    </font>
    <font>
      <b/>
      <sz val="14"/>
      <color rgb="FF0000FF"/>
      <name val="Calibri"/>
      <family val="2"/>
      <scheme val="minor"/>
    </font>
    <font>
      <sz val="14"/>
      <name val="Calibri"/>
      <family val="2"/>
      <scheme val="minor"/>
    </font>
    <font>
      <b/>
      <sz val="14"/>
      <color rgb="FF0432FF"/>
      <name val="Calibri"/>
      <family val="2"/>
      <scheme val="minor"/>
    </font>
    <font>
      <sz val="14"/>
      <color rgb="FF000000"/>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37">
    <xf numFmtId="0" fontId="0" fillId="0" borderId="0" xfId="0"/>
    <xf numFmtId="0" fontId="1" fillId="0" borderId="0" xfId="0" applyFont="1"/>
    <xf numFmtId="3" fontId="0" fillId="0" borderId="0" xfId="0" applyNumberFormat="1"/>
    <xf numFmtId="0" fontId="2" fillId="0" borderId="1" xfId="0" applyFont="1" applyBorder="1"/>
    <xf numFmtId="0" fontId="4" fillId="0" borderId="0" xfId="0" applyFont="1"/>
    <xf numFmtId="164" fontId="0" fillId="0" borderId="0" xfId="0" applyNumberFormat="1"/>
    <xf numFmtId="3" fontId="3"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0" fontId="3" fillId="0" borderId="0" xfId="0" applyFont="1"/>
    <xf numFmtId="0" fontId="5" fillId="0" borderId="0" xfId="0" applyFont="1"/>
    <xf numFmtId="0" fontId="3" fillId="0" borderId="0" xfId="0" applyFont="1" applyAlignment="1">
      <alignment horizontal="left"/>
    </xf>
    <xf numFmtId="0" fontId="10" fillId="0" borderId="0" xfId="0" applyFont="1" applyAlignment="1">
      <alignment horizontal="center"/>
    </xf>
    <xf numFmtId="0" fontId="11" fillId="0" borderId="1" xfId="0" applyFont="1" applyBorder="1" applyAlignment="1">
      <alignment horizontal="left"/>
    </xf>
    <xf numFmtId="0" fontId="3" fillId="0" borderId="0" xfId="0" applyFont="1" applyAlignment="1">
      <alignment horizontal="center"/>
    </xf>
    <xf numFmtId="3" fontId="3" fillId="0" borderId="1" xfId="0" applyNumberFormat="1" applyFont="1" applyBorder="1" applyAlignment="1">
      <alignment horizontal="center"/>
    </xf>
    <xf numFmtId="0" fontId="5"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14" fontId="3" fillId="0" borderId="0" xfId="0" applyNumberFormat="1" applyFont="1" applyAlignment="1">
      <alignment horizontal="center"/>
    </xf>
    <xf numFmtId="0" fontId="2" fillId="0" borderId="0" xfId="0" applyFont="1"/>
    <xf numFmtId="3" fontId="3" fillId="0" borderId="0" xfId="0" applyNumberFormat="1" applyFont="1" applyAlignment="1">
      <alignment horizontal="center"/>
    </xf>
    <xf numFmtId="0" fontId="2" fillId="0" borderId="2" xfId="0" applyFont="1" applyBorder="1"/>
    <xf numFmtId="0" fontId="6" fillId="0" borderId="1" xfId="0" applyFont="1" applyBorder="1" applyAlignment="1">
      <alignment horizontal="center"/>
    </xf>
    <xf numFmtId="0" fontId="8" fillId="0" borderId="1" xfId="0" applyFont="1" applyBorder="1"/>
    <xf numFmtId="3" fontId="3" fillId="0" borderId="1" xfId="0" applyNumberFormat="1" applyFont="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wrapText="1"/>
    </xf>
    <xf numFmtId="0" fontId="11" fillId="0" borderId="0" xfId="0" applyFont="1" applyAlignment="1">
      <alignment horizontal="left"/>
    </xf>
    <xf numFmtId="0" fontId="12" fillId="0" borderId="0" xfId="0" applyFont="1" applyAlignment="1">
      <alignment horizontal="left"/>
    </xf>
    <xf numFmtId="0" fontId="5" fillId="0" borderId="0" xfId="0" applyFont="1" applyAlignment="1">
      <alignment horizontal="left"/>
    </xf>
    <xf numFmtId="0" fontId="11" fillId="0" borderId="1" xfId="0" applyFont="1" applyBorder="1" applyAlignment="1">
      <alignment horizontal="left"/>
    </xf>
    <xf numFmtId="0" fontId="8"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Distribution of Read-Lengths</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'Chart Data'!$A$1:$A$12</c:f>
              <c:strCache>
                <c:ptCount val="12"/>
                <c:pt idx="0">
                  <c:v>0-999</c:v>
                </c:pt>
                <c:pt idx="1">
                  <c:v>1000-3999</c:v>
                </c:pt>
                <c:pt idx="3">
                  <c:v>6000-7999</c:v>
                </c:pt>
                <c:pt idx="5">
                  <c:v>10000-14999</c:v>
                </c:pt>
                <c:pt idx="7">
                  <c:v>20000-29999</c:v>
                </c:pt>
                <c:pt idx="9">
                  <c:v>40000-79999</c:v>
                </c:pt>
                <c:pt idx="11">
                  <c:v>108000-2000000</c:v>
                </c:pt>
              </c:strCache>
            </c:strRef>
          </c:cat>
          <c:val>
            <c:numRef>
              <c:f>'Chart Data'!$B$1:$B$12</c:f>
              <c:numCache>
                <c:formatCode>General</c:formatCode>
                <c:ptCount val="12"/>
                <c:pt idx="0">
                  <c:v>802243</c:v>
                </c:pt>
                <c:pt idx="1">
                  <c:v>3029801</c:v>
                </c:pt>
                <c:pt idx="2">
                  <c:v>57031</c:v>
                </c:pt>
                <c:pt idx="3">
                  <c:v>1772</c:v>
                </c:pt>
                <c:pt idx="4">
                  <c:v>30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F86E-1F44-8B67-1DCED99A9F7D}"/>
            </c:ext>
          </c:extLst>
        </c:ser>
        <c:dLbls>
          <c:showLegendKey val="0"/>
          <c:showVal val="0"/>
          <c:showCatName val="0"/>
          <c:showSerName val="0"/>
          <c:showPercent val="0"/>
          <c:showBubbleSize val="0"/>
        </c:dLbls>
        <c:gapWidth val="219"/>
        <c:overlap val="-27"/>
        <c:axId val="1435509503"/>
        <c:axId val="1435849487"/>
      </c:barChart>
      <c:catAx>
        <c:axId val="1435509503"/>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Read-Length</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35849487"/>
        <c:crosses val="autoZero"/>
        <c:auto val="1"/>
        <c:lblAlgn val="ctr"/>
        <c:lblOffset val="100"/>
        <c:noMultiLvlLbl val="0"/>
      </c:catAx>
      <c:valAx>
        <c:axId val="1435849487"/>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Number of Reads</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35509503"/>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Yield</a:t>
            </a:r>
            <a:r>
              <a:rPr lang="en-US" baseline="0"/>
              <a:t> in MB per Read-Length</a:t>
            </a:r>
            <a:endParaRPr lang="en-US"/>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'Chart Data'!$A$1:$A$12</c:f>
              <c:strCache>
                <c:ptCount val="12"/>
                <c:pt idx="0">
                  <c:v>0-999</c:v>
                </c:pt>
                <c:pt idx="1">
                  <c:v>1000-3999</c:v>
                </c:pt>
                <c:pt idx="3">
                  <c:v>6000-7999</c:v>
                </c:pt>
                <c:pt idx="5">
                  <c:v>10000-14999</c:v>
                </c:pt>
                <c:pt idx="7">
                  <c:v>20000-29999</c:v>
                </c:pt>
                <c:pt idx="9">
                  <c:v>40000-79999</c:v>
                </c:pt>
                <c:pt idx="11">
                  <c:v>108000-2000000</c:v>
                </c:pt>
              </c:strCache>
            </c:strRef>
          </c:cat>
          <c:val>
            <c:numRef>
              <c:f>'Chart Data'!$D$1:$D$12</c:f>
              <c:numCache>
                <c:formatCode>#,##0.0</c:formatCode>
                <c:ptCount val="12"/>
                <c:pt idx="0">
                  <c:v>641.11657000000002</c:v>
                </c:pt>
                <c:pt idx="1">
                  <c:v>5658.7023579999995</c:v>
                </c:pt>
                <c:pt idx="2">
                  <c:v>259.084902</c:v>
                </c:pt>
                <c:pt idx="3">
                  <c:v>11.486875</c:v>
                </c:pt>
                <c:pt idx="4">
                  <c:v>0.251392</c:v>
                </c:pt>
                <c:pt idx="5">
                  <c:v>1.0551E-2</c:v>
                </c:pt>
                <c:pt idx="6">
                  <c:v>0</c:v>
                </c:pt>
                <c:pt idx="7">
                  <c:v>0</c:v>
                </c:pt>
                <c:pt idx="8">
                  <c:v>0</c:v>
                </c:pt>
                <c:pt idx="9">
                  <c:v>0</c:v>
                </c:pt>
                <c:pt idx="10">
                  <c:v>0</c:v>
                </c:pt>
                <c:pt idx="11">
                  <c:v>0</c:v>
                </c:pt>
              </c:numCache>
            </c:numRef>
          </c:val>
          <c:extLst>
            <c:ext xmlns:c16="http://schemas.microsoft.com/office/drawing/2014/chart" uri="{C3380CC4-5D6E-409C-BE32-E72D297353CC}">
              <c16:uniqueId val="{00000000-B68C-4049-8D3E-E90633A44EC5}"/>
            </c:ext>
          </c:extLst>
        </c:ser>
        <c:dLbls>
          <c:showLegendKey val="0"/>
          <c:showVal val="0"/>
          <c:showCatName val="0"/>
          <c:showSerName val="0"/>
          <c:showPercent val="0"/>
          <c:showBubbleSize val="0"/>
        </c:dLbls>
        <c:gapWidth val="219"/>
        <c:overlap val="-27"/>
        <c:axId val="1436242287"/>
        <c:axId val="1436243983"/>
      </c:barChart>
      <c:catAx>
        <c:axId val="1436242287"/>
        <c:scaling>
          <c:orientation val="minMax"/>
        </c:scaling>
        <c:delete val="0"/>
        <c:axPos val="b"/>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Read-Length</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36243983"/>
        <c:crosses val="autoZero"/>
        <c:auto val="1"/>
        <c:lblAlgn val="ctr"/>
        <c:lblOffset val="100"/>
        <c:noMultiLvlLbl val="0"/>
      </c:catAx>
      <c:valAx>
        <c:axId val="1436243983"/>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Mega</a:t>
                </a:r>
                <a:r>
                  <a:rPr lang="en-US" baseline="0"/>
                  <a:t> Bases</a:t>
                </a:r>
                <a:endParaRPr lang="en-US"/>
              </a:p>
            </c:rich>
          </c:tx>
          <c:overlay val="0"/>
          <c:spPr>
            <a:noFill/>
            <a:ln>
              <a:noFill/>
              <a:prstDash val="solid"/>
            </a:ln>
          </c:spPr>
        </c:title>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36242287"/>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80818</xdr:colOff>
      <xdr:row>18</xdr:row>
      <xdr:rowOff>126999</xdr:rowOff>
    </xdr:from>
    <xdr:to>
      <xdr:col>1</xdr:col>
      <xdr:colOff>1150363</xdr:colOff>
      <xdr:row>38</xdr:row>
      <xdr:rowOff>103908</xdr:rowOff>
    </xdr:to>
    <xdr:pic>
      <xdr:nvPicPr>
        <xdr:cNvPr id="3" name="Picture 2">
          <a:extLst>
            <a:ext uri="{FF2B5EF4-FFF2-40B4-BE49-F238E27FC236}">
              <a16:creationId xmlns:a16="http://schemas.microsoft.com/office/drawing/2014/main" id="{454C72A2-C01D-295F-83C9-6602D4D0FB75}"/>
            </a:ext>
          </a:extLst>
        </xdr:cNvPr>
        <xdr:cNvPicPr>
          <a:picLocks noChangeAspect="1"/>
        </xdr:cNvPicPr>
      </xdr:nvPicPr>
      <xdr:blipFill>
        <a:blip xmlns:r="http://schemas.openxmlformats.org/officeDocument/2006/relationships" r:embed="rId1"/>
        <a:stretch>
          <a:fillRect/>
        </a:stretch>
      </xdr:blipFill>
      <xdr:spPr>
        <a:xfrm>
          <a:off x="80818" y="4248726"/>
          <a:ext cx="5283636" cy="42025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12700</xdr:colOff>
      <xdr:row>7</xdr:row>
      <xdr:rowOff>6350</xdr:rowOff>
    </xdr:from>
    <xdr:to>
      <xdr:col>13</xdr:col>
      <xdr:colOff>774700</xdr:colOff>
      <xdr:row>27</xdr:row>
      <xdr:rowOff>190500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6350</xdr:colOff>
      <xdr:row>7</xdr:row>
      <xdr:rowOff>6350</xdr:rowOff>
    </xdr:from>
    <xdr:to>
      <xdr:col>22</xdr:col>
      <xdr:colOff>800100</xdr:colOff>
      <xdr:row>27</xdr:row>
      <xdr:rowOff>190500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
  <sheetViews>
    <sheetView tabSelected="1" zoomScale="110" zoomScaleNormal="110" workbookViewId="0"/>
  </sheetViews>
  <sheetFormatPr baseColWidth="10" defaultColWidth="11" defaultRowHeight="16" x14ac:dyDescent="0.2"/>
  <cols>
    <col min="1" max="1" width="55.33203125" customWidth="1"/>
    <col min="2" max="4" width="65.1640625" customWidth="1"/>
    <col min="5" max="5" width="62.33203125" customWidth="1"/>
  </cols>
  <sheetData>
    <row r="1" spans="1:4" ht="23.25" customHeight="1" x14ac:dyDescent="0.3">
      <c r="A1" s="4" t="s">
        <v>0</v>
      </c>
    </row>
    <row r="2" spans="1:4" ht="23.25" customHeight="1" x14ac:dyDescent="0.3">
      <c r="A2" s="4"/>
    </row>
    <row r="3" spans="1:4" ht="18" customHeight="1" x14ac:dyDescent="0.2">
      <c r="A3" s="8" t="s">
        <v>35</v>
      </c>
      <c r="B3" s="23">
        <v>45341</v>
      </c>
      <c r="C3" s="9"/>
      <c r="D3" s="9"/>
    </row>
    <row r="4" spans="1:4" ht="18" customHeight="1" x14ac:dyDescent="0.2">
      <c r="A4" s="8" t="s">
        <v>36</v>
      </c>
      <c r="B4" s="16" t="s">
        <v>33</v>
      </c>
      <c r="C4" s="9"/>
      <c r="D4" s="9"/>
    </row>
    <row r="5" spans="1:4" ht="18" customHeight="1" x14ac:dyDescent="0.2">
      <c r="A5" s="8" t="s">
        <v>37</v>
      </c>
      <c r="B5" s="16" t="s">
        <v>14</v>
      </c>
      <c r="C5" s="9"/>
      <c r="D5" s="9"/>
    </row>
    <row r="6" spans="1:4" ht="18" customHeight="1" x14ac:dyDescent="0.2">
      <c r="A6" s="8" t="s">
        <v>38</v>
      </c>
      <c r="B6" s="16">
        <v>149</v>
      </c>
      <c r="C6" s="9"/>
      <c r="D6" s="9"/>
    </row>
    <row r="7" spans="1:4" ht="18" customHeight="1" x14ac:dyDescent="0.2">
      <c r="A7" s="8" t="s">
        <v>39</v>
      </c>
      <c r="B7" s="16" t="s">
        <v>34</v>
      </c>
      <c r="C7" s="9"/>
      <c r="D7" s="9"/>
    </row>
    <row r="8" spans="1:4" ht="23.25" customHeight="1" x14ac:dyDescent="0.25">
      <c r="A8" s="10"/>
      <c r="B8" s="16"/>
      <c r="C8" s="9"/>
      <c r="D8" s="9"/>
    </row>
    <row r="9" spans="1:4" ht="20.25" customHeight="1" x14ac:dyDescent="0.2">
      <c r="A9" s="7" t="s">
        <v>40</v>
      </c>
      <c r="B9" s="27">
        <v>2</v>
      </c>
      <c r="C9" s="27">
        <v>3</v>
      </c>
      <c r="D9" s="27">
        <v>4</v>
      </c>
    </row>
    <row r="10" spans="1:4" ht="18" customHeight="1" x14ac:dyDescent="0.2">
      <c r="A10" s="26" t="s">
        <v>1</v>
      </c>
      <c r="B10" s="29">
        <v>1696084003</v>
      </c>
      <c r="C10" s="29">
        <v>1764421242</v>
      </c>
      <c r="D10" s="29">
        <v>1893928705</v>
      </c>
    </row>
    <row r="11" spans="1:4" ht="18" customHeight="1" x14ac:dyDescent="0.2">
      <c r="A11" s="26" t="s">
        <v>2</v>
      </c>
      <c r="B11" s="29">
        <v>930830</v>
      </c>
      <c r="C11" s="29">
        <v>962582</v>
      </c>
      <c r="D11" s="29">
        <v>1056477</v>
      </c>
    </row>
    <row r="12" spans="1:4" ht="18" customHeight="1" x14ac:dyDescent="0.2">
      <c r="A12" s="26" t="s">
        <v>3</v>
      </c>
      <c r="B12" s="29">
        <v>12154</v>
      </c>
      <c r="C12" s="29">
        <v>11740</v>
      </c>
      <c r="D12" s="29">
        <v>10951</v>
      </c>
    </row>
    <row r="13" spans="1:4" ht="18" customHeight="1" x14ac:dyDescent="0.2">
      <c r="A13" s="26" t="s">
        <v>4</v>
      </c>
      <c r="B13" s="30">
        <v>58</v>
      </c>
      <c r="C13" s="30">
        <v>165</v>
      </c>
      <c r="D13" s="30">
        <v>133</v>
      </c>
    </row>
    <row r="14" spans="1:4" ht="18" customHeight="1" x14ac:dyDescent="0.2">
      <c r="A14" s="26" t="s">
        <v>5</v>
      </c>
      <c r="B14" s="29">
        <v>1822.1</v>
      </c>
      <c r="C14" s="29">
        <v>1833</v>
      </c>
      <c r="D14" s="29">
        <v>1792.7</v>
      </c>
    </row>
    <row r="15" spans="1:4" ht="18" customHeight="1" x14ac:dyDescent="0.2">
      <c r="A15" s="26" t="s">
        <v>54</v>
      </c>
      <c r="B15" s="17">
        <v>24593</v>
      </c>
      <c r="C15" s="17">
        <v>31490</v>
      </c>
      <c r="D15" s="17">
        <v>36270</v>
      </c>
    </row>
    <row r="16" spans="1:4" ht="18" customHeight="1" x14ac:dyDescent="0.2">
      <c r="A16" s="3" t="s">
        <v>41</v>
      </c>
      <c r="B16" s="31" t="s">
        <v>42</v>
      </c>
      <c r="C16" s="31" t="s">
        <v>43</v>
      </c>
      <c r="D16" s="31" t="s">
        <v>44</v>
      </c>
    </row>
    <row r="17" spans="1:4" ht="18" customHeight="1" x14ac:dyDescent="0.2">
      <c r="A17" s="3" t="s">
        <v>52</v>
      </c>
      <c r="B17" s="17" t="s">
        <v>47</v>
      </c>
      <c r="C17" s="17" t="s">
        <v>46</v>
      </c>
      <c r="D17" s="17" t="s">
        <v>45</v>
      </c>
    </row>
    <row r="18" spans="1:4" ht="18" customHeight="1" x14ac:dyDescent="0.2">
      <c r="A18" s="24"/>
      <c r="B18" s="25"/>
      <c r="C18" s="6"/>
      <c r="D18" s="11"/>
    </row>
    <row r="37" spans="1:7" ht="20.25" customHeight="1" x14ac:dyDescent="0.2">
      <c r="A37" s="7"/>
      <c r="B37" s="9"/>
      <c r="C37" s="9"/>
      <c r="G37" s="2"/>
    </row>
    <row r="38" spans="1:7" ht="18" customHeight="1" x14ac:dyDescent="0.2">
      <c r="A38" s="13"/>
      <c r="B38" s="9"/>
      <c r="C38" s="9"/>
      <c r="G38" s="2"/>
    </row>
    <row r="39" spans="1:7" ht="18" customHeight="1" x14ac:dyDescent="0.2">
      <c r="A39" s="14"/>
      <c r="B39" s="14"/>
      <c r="C39" s="14"/>
    </row>
    <row r="40" spans="1:7" ht="18" customHeight="1" x14ac:dyDescent="0.2">
      <c r="A40" s="14"/>
      <c r="B40" s="14"/>
      <c r="C40" s="14"/>
    </row>
    <row r="41" spans="1:7" ht="18" customHeight="1" x14ac:dyDescent="0.25">
      <c r="A41" s="15" t="s">
        <v>15</v>
      </c>
      <c r="B41" s="35" t="s">
        <v>16</v>
      </c>
      <c r="C41" s="35"/>
    </row>
    <row r="42" spans="1:7" ht="18" customHeight="1" x14ac:dyDescent="0.2">
      <c r="A42" s="28" t="s">
        <v>48</v>
      </c>
      <c r="B42" s="36" t="s">
        <v>56</v>
      </c>
      <c r="C42" s="36"/>
    </row>
    <row r="43" spans="1:7" ht="18" customHeight="1" x14ac:dyDescent="0.2">
      <c r="A43" s="28" t="s">
        <v>51</v>
      </c>
      <c r="B43" s="36" t="s">
        <v>57</v>
      </c>
      <c r="C43" s="36"/>
    </row>
    <row r="44" spans="1:7" x14ac:dyDescent="0.2">
      <c r="A44" s="28" t="s">
        <v>50</v>
      </c>
      <c r="B44" s="36" t="s">
        <v>30</v>
      </c>
      <c r="C44" s="36"/>
    </row>
    <row r="45" spans="1:7" x14ac:dyDescent="0.2">
      <c r="A45" s="28" t="s">
        <v>49</v>
      </c>
      <c r="B45" s="36" t="s">
        <v>53</v>
      </c>
      <c r="C45" s="36"/>
    </row>
    <row r="46" spans="1:7" x14ac:dyDescent="0.2">
      <c r="A46" s="9"/>
      <c r="B46" s="9"/>
      <c r="C46" s="9"/>
    </row>
    <row r="47" spans="1:7" ht="18.75" customHeight="1" x14ac:dyDescent="0.25">
      <c r="A47" s="11"/>
      <c r="B47" s="11"/>
      <c r="C47" s="11"/>
      <c r="D47" s="12"/>
    </row>
    <row r="48" spans="1:7" ht="18.75" customHeight="1" x14ac:dyDescent="0.25">
      <c r="A48" s="32" t="s">
        <v>17</v>
      </c>
      <c r="B48" s="32"/>
      <c r="C48" s="18"/>
      <c r="D48" s="18"/>
      <c r="E48" s="18"/>
      <c r="F48" s="18"/>
      <c r="G48" s="12"/>
    </row>
    <row r="49" spans="1:7" ht="18.75" customHeight="1" x14ac:dyDescent="0.25">
      <c r="A49" s="33" t="s">
        <v>55</v>
      </c>
      <c r="B49" s="33"/>
      <c r="C49" s="33"/>
      <c r="D49" s="18"/>
      <c r="E49" s="18"/>
      <c r="F49" s="18"/>
      <c r="G49" s="12"/>
    </row>
    <row r="50" spans="1:7" ht="18.75" customHeight="1" x14ac:dyDescent="0.25">
      <c r="A50" s="33" t="s">
        <v>31</v>
      </c>
      <c r="B50" s="33"/>
      <c r="C50" s="33"/>
      <c r="D50" s="33"/>
      <c r="E50" s="33"/>
      <c r="F50" s="33"/>
      <c r="G50" s="33"/>
    </row>
    <row r="51" spans="1:7" ht="18.75" customHeight="1" x14ac:dyDescent="0.25">
      <c r="A51" s="34" t="s">
        <v>18</v>
      </c>
      <c r="B51" s="34"/>
      <c r="C51" s="34"/>
      <c r="D51" s="34"/>
      <c r="E51" s="34"/>
      <c r="F51" s="34"/>
      <c r="G51" s="34"/>
    </row>
    <row r="52" spans="1:7" ht="18.75" customHeight="1" x14ac:dyDescent="0.25">
      <c r="A52" s="12"/>
      <c r="B52" s="12"/>
      <c r="C52" s="12"/>
      <c r="D52" s="12"/>
      <c r="E52" s="12"/>
      <c r="F52" s="12"/>
      <c r="G52" s="12"/>
    </row>
    <row r="53" spans="1:7" ht="18.75" customHeight="1" x14ac:dyDescent="0.25">
      <c r="A53" s="19" t="s">
        <v>32</v>
      </c>
      <c r="B53" s="19"/>
      <c r="C53" s="18"/>
      <c r="D53" s="18"/>
      <c r="E53" s="18"/>
      <c r="F53" s="18"/>
      <c r="G53" s="20"/>
    </row>
    <row r="54" spans="1:7" ht="18.75" customHeight="1" x14ac:dyDescent="0.25">
      <c r="A54" s="34" t="s">
        <v>19</v>
      </c>
      <c r="B54" s="34"/>
      <c r="C54" s="34"/>
      <c r="D54" s="34"/>
      <c r="E54" s="34"/>
      <c r="F54" s="18"/>
      <c r="G54" s="20"/>
    </row>
    <row r="55" spans="1:7" ht="18.75" customHeight="1" x14ac:dyDescent="0.25">
      <c r="A55" s="18" t="s">
        <v>20</v>
      </c>
      <c r="B55" s="18"/>
      <c r="C55" s="18"/>
      <c r="D55" s="18"/>
      <c r="E55" s="18"/>
      <c r="F55" s="18"/>
      <c r="G55" s="18"/>
    </row>
    <row r="56" spans="1:7" ht="18.75" customHeight="1" x14ac:dyDescent="0.2"/>
    <row r="57" spans="1:7" ht="18.75" customHeight="1" x14ac:dyDescent="0.2">
      <c r="A57" s="21" t="s">
        <v>6</v>
      </c>
    </row>
    <row r="58" spans="1:7" ht="18.75" customHeight="1" x14ac:dyDescent="0.25">
      <c r="A58" s="22" t="s">
        <v>21</v>
      </c>
    </row>
    <row r="59" spans="1:7" ht="18.75" customHeight="1" x14ac:dyDescent="0.2">
      <c r="A59" s="21" t="s">
        <v>6</v>
      </c>
    </row>
    <row r="60" spans="1:7" ht="18.75" customHeight="1" x14ac:dyDescent="0.2">
      <c r="A60" s="21" t="s">
        <v>22</v>
      </c>
    </row>
    <row r="61" spans="1:7" x14ac:dyDescent="0.2">
      <c r="A61" s="21" t="s">
        <v>6</v>
      </c>
    </row>
    <row r="62" spans="1:7" x14ac:dyDescent="0.2">
      <c r="A62" s="21" t="s">
        <v>23</v>
      </c>
    </row>
    <row r="63" spans="1:7" x14ac:dyDescent="0.2">
      <c r="A63" s="21" t="s">
        <v>6</v>
      </c>
    </row>
    <row r="64" spans="1:7" x14ac:dyDescent="0.2">
      <c r="A64" s="21" t="s">
        <v>24</v>
      </c>
    </row>
    <row r="65" spans="1:1" x14ac:dyDescent="0.2">
      <c r="A65" s="21" t="s">
        <v>25</v>
      </c>
    </row>
    <row r="66" spans="1:1" x14ac:dyDescent="0.2">
      <c r="A66" s="21" t="s">
        <v>6</v>
      </c>
    </row>
    <row r="67" spans="1:1" x14ac:dyDescent="0.2">
      <c r="A67" s="21" t="s">
        <v>26</v>
      </c>
    </row>
    <row r="68" spans="1:1" x14ac:dyDescent="0.2">
      <c r="A68" s="21" t="s">
        <v>27</v>
      </c>
    </row>
    <row r="69" spans="1:1" x14ac:dyDescent="0.2">
      <c r="A69" s="21" t="s">
        <v>6</v>
      </c>
    </row>
    <row r="70" spans="1:1" x14ac:dyDescent="0.2">
      <c r="A70" s="21" t="s">
        <v>28</v>
      </c>
    </row>
    <row r="71" spans="1:1" x14ac:dyDescent="0.2">
      <c r="A71" s="21" t="s">
        <v>6</v>
      </c>
    </row>
    <row r="72" spans="1:1" x14ac:dyDescent="0.2">
      <c r="A72" s="21" t="s">
        <v>29</v>
      </c>
    </row>
    <row r="73" spans="1:1" x14ac:dyDescent="0.2">
      <c r="A73" s="21" t="s">
        <v>6</v>
      </c>
    </row>
  </sheetData>
  <mergeCells count="10">
    <mergeCell ref="B41:C41"/>
    <mergeCell ref="B42:C42"/>
    <mergeCell ref="B43:C43"/>
    <mergeCell ref="B44:C44"/>
    <mergeCell ref="B45:C45"/>
    <mergeCell ref="A48:B48"/>
    <mergeCell ref="A49:C49"/>
    <mergeCell ref="A50:G50"/>
    <mergeCell ref="A51:G51"/>
    <mergeCell ref="A54:E54"/>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zoomScaleNormal="100" workbookViewId="0">
      <selection activeCell="A17" sqref="A17"/>
    </sheetView>
  </sheetViews>
  <sheetFormatPr baseColWidth="10" defaultColWidth="11" defaultRowHeight="16" x14ac:dyDescent="0.2"/>
  <cols>
    <col min="1" max="1" width="25.6640625" customWidth="1"/>
  </cols>
  <sheetData>
    <row r="1" spans="1:4" x14ac:dyDescent="0.2">
      <c r="A1" s="1" t="s">
        <v>7</v>
      </c>
      <c r="B1">
        <v>802243</v>
      </c>
      <c r="C1">
        <v>641116570</v>
      </c>
      <c r="D1" s="5">
        <f t="shared" ref="D1:D12" si="0">(C1/1000000)</f>
        <v>641.11657000000002</v>
      </c>
    </row>
    <row r="2" spans="1:4" x14ac:dyDescent="0.2">
      <c r="A2" s="1" t="s">
        <v>8</v>
      </c>
      <c r="B2">
        <v>3029801</v>
      </c>
      <c r="C2">
        <v>5658702358</v>
      </c>
      <c r="D2" s="5">
        <f t="shared" si="0"/>
        <v>5658.7023579999995</v>
      </c>
    </row>
    <row r="3" spans="1:4" x14ac:dyDescent="0.2">
      <c r="A3" s="1"/>
      <c r="B3">
        <v>57031</v>
      </c>
      <c r="C3">
        <v>259084902</v>
      </c>
      <c r="D3" s="5">
        <f t="shared" si="0"/>
        <v>259.084902</v>
      </c>
    </row>
    <row r="4" spans="1:4" x14ac:dyDescent="0.2">
      <c r="A4" s="1" t="s">
        <v>9</v>
      </c>
      <c r="B4">
        <v>1772</v>
      </c>
      <c r="C4">
        <v>11486875</v>
      </c>
      <c r="D4" s="5">
        <f t="shared" si="0"/>
        <v>11.486875</v>
      </c>
    </row>
    <row r="5" spans="1:4" x14ac:dyDescent="0.2">
      <c r="A5" s="1"/>
      <c r="B5">
        <v>30</v>
      </c>
      <c r="C5">
        <v>251392</v>
      </c>
      <c r="D5" s="5">
        <f t="shared" si="0"/>
        <v>0.251392</v>
      </c>
    </row>
    <row r="6" spans="1:4" x14ac:dyDescent="0.2">
      <c r="A6" s="1" t="s">
        <v>10</v>
      </c>
      <c r="B6">
        <v>1</v>
      </c>
      <c r="C6">
        <v>10551</v>
      </c>
      <c r="D6" s="5">
        <f t="shared" si="0"/>
        <v>1.0551E-2</v>
      </c>
    </row>
    <row r="7" spans="1:4" x14ac:dyDescent="0.2">
      <c r="A7" s="1"/>
      <c r="B7">
        <v>0</v>
      </c>
      <c r="C7">
        <v>0</v>
      </c>
      <c r="D7" s="5">
        <f t="shared" si="0"/>
        <v>0</v>
      </c>
    </row>
    <row r="8" spans="1:4" x14ac:dyDescent="0.2">
      <c r="A8" s="1" t="s">
        <v>11</v>
      </c>
      <c r="B8">
        <v>0</v>
      </c>
      <c r="C8">
        <v>0</v>
      </c>
      <c r="D8" s="5">
        <f t="shared" si="0"/>
        <v>0</v>
      </c>
    </row>
    <row r="9" spans="1:4" x14ac:dyDescent="0.2">
      <c r="A9" s="1"/>
      <c r="B9">
        <v>0</v>
      </c>
      <c r="C9">
        <v>0</v>
      </c>
      <c r="D9" s="5">
        <f t="shared" si="0"/>
        <v>0</v>
      </c>
    </row>
    <row r="10" spans="1:4" x14ac:dyDescent="0.2">
      <c r="A10" s="1" t="s">
        <v>12</v>
      </c>
      <c r="B10">
        <v>0</v>
      </c>
      <c r="C10">
        <v>0</v>
      </c>
      <c r="D10" s="5">
        <f t="shared" si="0"/>
        <v>0</v>
      </c>
    </row>
    <row r="11" spans="1:4" x14ac:dyDescent="0.2">
      <c r="A11" s="1"/>
      <c r="B11">
        <v>0</v>
      </c>
      <c r="C11">
        <v>0</v>
      </c>
      <c r="D11" s="5">
        <f t="shared" si="0"/>
        <v>0</v>
      </c>
    </row>
    <row r="12" spans="1:4" x14ac:dyDescent="0.2">
      <c r="A12" s="1" t="s">
        <v>13</v>
      </c>
      <c r="B12">
        <v>0</v>
      </c>
      <c r="C12">
        <v>0</v>
      </c>
      <c r="D12" s="5">
        <f t="shared" si="0"/>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Oxford Nanopore</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Hernandez, Alvaro Gonzalo</dc:creator>
  <cp:lastModifiedBy>Hogan, Elizabeth Kaitlin</cp:lastModifiedBy>
  <dcterms:created xsi:type="dcterms:W3CDTF">2018-02-21T22:57:29Z</dcterms:created>
  <dcterms:modified xsi:type="dcterms:W3CDTF">2024-02-20T16:59:48Z</dcterms:modified>
</cp:coreProperties>
</file>